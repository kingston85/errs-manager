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Lab Results" sheetId="2" state="visible" r:id="rId2"/>
    <sheet name="Health Complaints" sheetId="3" state="visible" r:id="rId3"/>
    <sheet name="Facility Inspections" sheetId="4" state="visible" r:id="rId4"/>
    <sheet name="Radiation Safety" sheetId="5" state="visible" r:id="rId5"/>
    <sheet name="Reference" sheetId="6" state="visible" r:id="rId6"/>
    <sheet name="Read Me" sheetId="7" state="visible" r:id="rId7"/>
    <sheet name="CalcData" sheetId="8" state="visible" r:id="rId8"/>
  </sheets>
  <definedNames>
    <definedName name="CountyList">Reference!$A$26:$A$37</definedName>
    <definedName name="MediumList">Reference!$C$26:$C$29</definedName>
    <definedName name="ParameterList">Reference!$D$26:$D$42</definedName>
    <definedName name="ComplaintTypeList">Reference!$E$26:$E$31</definedName>
    <definedName name="ComplaintStatusList">Reference!$F$26:$F$29</definedName>
    <definedName name="SeverityList">Reference!$G$26:$G$29</definedName>
    <definedName name="FacilityTypeList">Reference!$H$26:$H$31</definedName>
    <definedName name="RadFacilityTypeList">Reference!$I$26:$I$28</definedName>
    <definedName name="SourceTypeList">Reference!$J$26:$J$41</definedName>
    <definedName name="OutcomeList">Reference!$K$26:$K$28</definedName>
    <definedName name="YesNoList">Reference!$L$26:$L$27</definedName>
    <definedName name="_xlnm.Print_Area" localSheetId="0">'Dashboard'!$B$1:$M$90</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21">
    <font>
      <name val="Calibri"/>
      <family val="2"/>
      <color theme="1"/>
      <sz val="11"/>
      <scheme val="minor"/>
    </font>
    <font>
      <b val="1"/>
      <color rgb="00FFFFFF"/>
      <sz val="15"/>
    </font>
    <font>
      <i val="1"/>
      <color rgb="006B7A80"/>
      <sz val="9"/>
    </font>
    <font>
      <b val="1"/>
      <color rgb="00FFFFFF"/>
      <sz val="10"/>
    </font>
    <font>
      <b val="1"/>
      <color rgb="000E5C4A"/>
      <sz val="11"/>
    </font>
    <font>
      <color rgb="006B7A80"/>
      <sz val="9"/>
    </font>
    <font>
      <b val="1"/>
      <color rgb="000E5C4A"/>
      <sz val="10"/>
    </font>
    <font>
      <b val="1"/>
      <color rgb="00FFFFFF"/>
      <sz val="9"/>
    </font>
    <font>
      <b val="1"/>
    </font>
    <font>
      <b val="1"/>
      <color rgb="00FFFFFF"/>
      <sz val="20"/>
    </font>
    <font>
      <b val="1"/>
      <color rgb="000E5C4A"/>
      <sz val="9"/>
    </font>
    <font>
      <b val="1"/>
      <color rgb="001F2A2E"/>
      <sz val="20"/>
    </font>
    <font>
      <i val="1"/>
      <color rgb="006B7A80"/>
      <sz val="8"/>
    </font>
    <font>
      <b val="1"/>
      <color rgb="003E8E5A"/>
      <sz val="9"/>
    </font>
    <font>
      <b val="1"/>
      <color rgb="00C0392B"/>
      <sz val="9"/>
    </font>
    <font>
      <b val="1"/>
      <color rgb="00C0392B"/>
      <sz val="20"/>
    </font>
    <font>
      <b val="1"/>
      <color rgb="00E8A33D"/>
      <sz val="9"/>
    </font>
    <font>
      <b val="1"/>
      <color rgb="002E6E9E"/>
      <sz val="9"/>
    </font>
    <font>
      <b val="1"/>
      <color rgb="00FFFFFF"/>
      <sz val="12"/>
    </font>
    <font>
      <b val="1"/>
      <color rgb="000E5C4A"/>
      <sz val="12"/>
    </font>
    <font>
      <color rgb="001F2A2E"/>
      <sz val="10"/>
    </font>
  </fonts>
  <fills count="5">
    <fill>
      <patternFill/>
    </fill>
    <fill>
      <patternFill patternType="gray125"/>
    </fill>
    <fill>
      <patternFill patternType="solid">
        <fgColor rgb="000E5C4A"/>
      </patternFill>
    </fill>
    <fill>
      <patternFill patternType="solid">
        <fgColor rgb="0012775F"/>
      </patternFill>
    </fill>
    <fill>
      <patternFill patternType="solid">
        <fgColor rgb="00F4F9F7"/>
      </patternFill>
    </fill>
  </fills>
  <borders count="25">
    <border>
      <left/>
      <right/>
      <top/>
      <bottom/>
      <diagonal/>
    </border>
    <border>
      <left style="thin">
        <color rgb="00D3DED9"/>
      </left>
      <top style="thin">
        <color rgb="00D3DED9"/>
      </top>
    </border>
    <border>
      <top style="thin">
        <color rgb="00D3DED9"/>
      </top>
    </border>
    <border>
      <right style="thin">
        <color rgb="00D3DED9"/>
      </right>
      <top style="thin">
        <color rgb="00D3DED9"/>
      </top>
    </border>
    <border>
      <left style="thin">
        <color rgb="00D3DED9"/>
      </left>
    </border>
    <border/>
    <border>
      <right style="thin">
        <color rgb="00D3DED9"/>
      </right>
    </border>
    <border>
      <left style="thin">
        <color rgb="00D3DED9"/>
      </left>
      <bottom style="thin">
        <color rgb="00D3DED9"/>
      </bottom>
    </border>
    <border>
      <bottom style="thin">
        <color rgb="00D3DED9"/>
      </bottom>
    </border>
    <border>
      <right style="thin">
        <color rgb="00D3DED9"/>
      </right>
      <bottom style="thin">
        <color rgb="00D3DED9"/>
      </bottom>
    </border>
    <border>
      <left style="thin">
        <color rgb="00D3DED9"/>
      </left>
      <top style="medium">
        <color rgb="000E5C4A"/>
      </top>
    </border>
    <border>
      <top style="medium">
        <color rgb="000E5C4A"/>
      </top>
    </border>
    <border>
      <right style="thin">
        <color rgb="00D3DED9"/>
      </right>
      <top style="medium">
        <color rgb="000E5C4A"/>
      </top>
    </border>
    <border>
      <left style="thin">
        <color rgb="00D3DED9"/>
      </left>
      <top style="medium">
        <color rgb="003E8E5A"/>
      </top>
    </border>
    <border>
      <top style="medium">
        <color rgb="003E8E5A"/>
      </top>
    </border>
    <border>
      <right style="thin">
        <color rgb="00D3DED9"/>
      </right>
      <top style="medium">
        <color rgb="003E8E5A"/>
      </top>
    </border>
    <border>
      <left style="thin">
        <color rgb="00D3DED9"/>
      </left>
      <top style="medium">
        <color rgb="00C0392B"/>
      </top>
    </border>
    <border>
      <top style="medium">
        <color rgb="00C0392B"/>
      </top>
    </border>
    <border>
      <right style="thin">
        <color rgb="00D3DED9"/>
      </right>
      <top style="medium">
        <color rgb="00C0392B"/>
      </top>
    </border>
    <border>
      <left style="thin">
        <color rgb="00D3DED9"/>
      </left>
      <top style="medium">
        <color rgb="00E8A33D"/>
      </top>
    </border>
    <border>
      <top style="medium">
        <color rgb="00E8A33D"/>
      </top>
    </border>
    <border>
      <right style="thin">
        <color rgb="00D3DED9"/>
      </right>
      <top style="medium">
        <color rgb="00E8A33D"/>
      </top>
    </border>
    <border>
      <left style="thin">
        <color rgb="00D3DED9"/>
      </left>
      <top style="medium">
        <color rgb="002E6E9E"/>
      </top>
    </border>
    <border>
      <top style="medium">
        <color rgb="002E6E9E"/>
      </top>
    </border>
    <border>
      <right style="thin">
        <color rgb="00D3DED9"/>
      </right>
      <top style="medium">
        <color rgb="002E6E9E"/>
      </top>
    </border>
  </borders>
  <cellStyleXfs count="1">
    <xf numFmtId="0" fontId="0" fillId="0" borderId="0"/>
  </cellStyleXfs>
  <cellXfs count="47">
    <xf numFmtId="0" fontId="0" fillId="0" borderId="0" pivotButton="0" quotePrefix="0" xfId="0"/>
    <xf numFmtId="0" fontId="9" fillId="2" borderId="0" applyAlignment="1" pivotButton="0" quotePrefix="0" xfId="0">
      <alignment horizontal="left" vertical="center" indent="1"/>
    </xf>
    <xf numFmtId="0" fontId="5" fillId="0" borderId="0" applyAlignment="1" pivotButton="0" quotePrefix="0" xfId="0">
      <alignment horizontal="left" vertical="center" indent="1"/>
    </xf>
    <xf numFmtId="0" fontId="10" fillId="4" borderId="10" applyAlignment="1" pivotButton="0" quotePrefix="0" xfId="0">
      <alignment horizontal="left" vertical="center" indent="1"/>
    </xf>
    <xf numFmtId="0" fontId="0" fillId="4" borderId="11" pivotButton="0" quotePrefix="0" xfId="0"/>
    <xf numFmtId="0" fontId="0" fillId="4" borderId="12" pivotButton="0" quotePrefix="0" xfId="0"/>
    <xf numFmtId="0" fontId="13" fillId="4" borderId="13" applyAlignment="1" pivotButton="0" quotePrefix="0" xfId="0">
      <alignment horizontal="left" vertical="center" indent="1"/>
    </xf>
    <xf numFmtId="0" fontId="0" fillId="4" borderId="14" pivotButton="0" quotePrefix="0" xfId="0"/>
    <xf numFmtId="0" fontId="0" fillId="4" borderId="15" pivotButton="0" quotePrefix="0" xfId="0"/>
    <xf numFmtId="0" fontId="14" fillId="4" borderId="16" applyAlignment="1" pivotButton="0" quotePrefix="0" xfId="0">
      <alignment horizontal="left" vertical="center" indent="1"/>
    </xf>
    <xf numFmtId="0" fontId="0" fillId="4" borderId="17" pivotButton="0" quotePrefix="0" xfId="0"/>
    <xf numFmtId="0" fontId="0" fillId="4" borderId="18" pivotButton="0" quotePrefix="0" xfId="0"/>
    <xf numFmtId="3" fontId="11" fillId="4" borderId="4" applyAlignment="1" pivotButton="0" quotePrefix="0" xfId="0">
      <alignment horizontal="left" vertical="center" indent="1"/>
    </xf>
    <xf numFmtId="0" fontId="0" fillId="4" borderId="5" pivotButton="0" quotePrefix="0" xfId="0"/>
    <xf numFmtId="0" fontId="0" fillId="4" borderId="6" pivotButton="0" quotePrefix="0" xfId="0"/>
    <xf numFmtId="166" fontId="11" fillId="4" borderId="4" applyAlignment="1" pivotButton="0" quotePrefix="0" xfId="0">
      <alignment horizontal="left" vertical="center" indent="1"/>
    </xf>
    <xf numFmtId="3" fontId="15" fillId="4" borderId="4" applyAlignment="1" pivotButton="0" quotePrefix="0" xfId="0">
      <alignment horizontal="left" vertical="center" indent="1"/>
    </xf>
    <xf numFmtId="0" fontId="12" fillId="4" borderId="7" applyAlignment="1" pivotButton="0" quotePrefix="0" xfId="0">
      <alignment horizontal="left" vertical="top" wrapText="1" indent="1"/>
    </xf>
    <xf numFmtId="0" fontId="0" fillId="4" borderId="8" pivotButton="0" quotePrefix="0" xfId="0"/>
    <xf numFmtId="0" fontId="0" fillId="4" borderId="9" pivotButton="0" quotePrefix="0" xfId="0"/>
    <xf numFmtId="0" fontId="16" fillId="4" borderId="19" applyAlignment="1" pivotButton="0" quotePrefix="0" xfId="0">
      <alignment horizontal="left" vertical="center" indent="1"/>
    </xf>
    <xf numFmtId="0" fontId="0" fillId="4" borderId="20" pivotButton="0" quotePrefix="0" xfId="0"/>
    <xf numFmtId="0" fontId="0" fillId="4" borderId="21" pivotButton="0" quotePrefix="0" xfId="0"/>
    <xf numFmtId="165" fontId="11" fillId="4" borderId="4" applyAlignment="1" pivotButton="0" quotePrefix="0" xfId="0">
      <alignment horizontal="left" vertical="center" indent="1"/>
    </xf>
    <xf numFmtId="0" fontId="17" fillId="4" borderId="22" applyAlignment="1" pivotButton="0" quotePrefix="0" xfId="0">
      <alignment horizontal="left" vertical="center" indent="1"/>
    </xf>
    <xf numFmtId="0" fontId="0" fillId="4" borderId="23" pivotButton="0" quotePrefix="0" xfId="0"/>
    <xf numFmtId="0" fontId="0" fillId="4" borderId="24" pivotButton="0" quotePrefix="0" xfId="0"/>
    <xf numFmtId="2" fontId="11" fillId="4" borderId="4" applyAlignment="1" pivotButton="0" quotePrefix="0" xfId="0">
      <alignment horizontal="left" vertical="center" indent="1"/>
    </xf>
    <xf numFmtId="0" fontId="18" fillId="3" borderId="0" applyAlignment="1" pivotButton="0" quotePrefix="0" xfId="0">
      <alignment horizontal="left" vertical="center" indent="1"/>
    </xf>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center" vertical="center" wrapText="1"/>
    </xf>
    <xf numFmtId="164" fontId="0" fillId="0" borderId="0" pivotButton="0" quotePrefix="0" xfId="0"/>
    <xf numFmtId="3" fontId="0" fillId="0" borderId="0" pivotButton="0" quotePrefix="0" xfId="0"/>
    <xf numFmtId="2" fontId="0" fillId="0" borderId="0" pivotButton="0" quotePrefix="0" xfId="0"/>
    <xf numFmtId="165" fontId="0" fillId="0" borderId="0" pivotButton="0" quotePrefix="0" xfId="0"/>
    <xf numFmtId="9" fontId="0" fillId="0" borderId="0" pivotButton="0" quotePrefix="0" xfId="0"/>
    <xf numFmtId="0" fontId="4" fillId="0" borderId="0" pivotButton="0" quotePrefix="0" xfId="0"/>
    <xf numFmtId="0" fontId="3" fillId="3" borderId="0" applyAlignment="1" pivotButton="0" quotePrefix="0" xfId="0">
      <alignment horizontal="center"/>
    </xf>
    <xf numFmtId="0" fontId="5" fillId="0" borderId="0" pivotButton="0" quotePrefix="0" xfId="0"/>
    <xf numFmtId="0" fontId="6" fillId="0" borderId="0" pivotButton="0" quotePrefix="0" xfId="0"/>
    <xf numFmtId="0" fontId="19" fillId="0" borderId="0" applyAlignment="1" pivotButton="0" quotePrefix="0" xfId="0">
      <alignment vertical="top" wrapText="1"/>
    </xf>
    <xf numFmtId="0" fontId="20" fillId="0" borderId="0" applyAlignment="1" pivotButton="0" quotePrefix="0" xfId="0">
      <alignment vertical="top" wrapText="1"/>
    </xf>
    <xf numFmtId="0" fontId="6" fillId="0" borderId="0" applyAlignment="1" pivotButton="0" quotePrefix="0" xfId="0">
      <alignment vertical="top" wrapText="1"/>
    </xf>
    <xf numFmtId="0" fontId="7" fillId="3" borderId="0" applyAlignment="1" pivotButton="0" quotePrefix="0" xfId="0">
      <alignment horizontal="center" wrapText="1"/>
    </xf>
    <xf numFmtId="166" fontId="0" fillId="0" borderId="0" pivotButton="0" quotePrefix="0" xfId="0"/>
    <xf numFmtId="0" fontId="8" fillId="0" borderId="0" pivotButton="0" quotePrefix="0" xfId="0"/>
  </cellXfs>
  <cellStyles count="1">
    <cellStyle name="Normal" xfId="0" builtinId="0" hidden="0"/>
  </cellStyles>
  <dxfs count="5">
    <dxf>
      <font>
        <b val="1"/>
        <color rgb="00FFFFFF"/>
      </font>
      <fill>
        <patternFill patternType="solid">
          <fgColor rgb="00C0392B"/>
        </patternFill>
      </fill>
    </dxf>
    <dxf>
      <fill>
        <patternFill patternType="solid">
          <fgColor rgb="00FDE7E4"/>
        </patternFill>
      </fill>
    </dxf>
    <dxf>
      <fill>
        <patternFill patternType="solid">
          <fgColor rgb="00FBD9B5"/>
        </patternFill>
      </fill>
    </dxf>
    <dxf>
      <font>
        <b val="1"/>
        <color rgb="003E8E5A"/>
      </font>
    </dxf>
    <dxf>
      <font>
        <b val="1"/>
        <color rgb="00C0392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2"/>
  <chart>
    <title>
      <tx>
        <rich>
          <a:bodyPr/>
          <a:p>
            <a:pPr>
              <a:defRPr/>
            </a:pPr>
            <a:r>
              <a:t>Exceedance rate by month</a:t>
            </a:r>
          </a:p>
        </rich>
      </tx>
    </title>
    <plotArea>
      <lineChart>
        <grouping val="standard"/>
        <ser>
          <idx val="0"/>
          <order val="0"/>
          <spPr>
            <a:ln w="28000">
              <a:solidFill>
                <a:srgbClr val="C0392B"/>
              </a:solidFill>
              <a:prstDash val="solid"/>
            </a:ln>
          </spPr>
          <marker>
            <symbol val="circle"/>
            <size val="6"/>
            <spPr>
              <a:ln>
                <a:prstDash val="solid"/>
              </a:ln>
            </spPr>
          </marker>
          <cat>
            <strRef>
              <f>'CalcData'!$A$6:$A$13</f>
            </strRef>
          </cat>
          <val>
            <numRef>
              <f>'CalcData'!$F$6:$F$13</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Share of samples above limit</a:t>
                </a:r>
              </a:p>
            </rich>
          </tx>
        </title>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Samples by medium: within limits vs above limit</a:t>
            </a:r>
          </a:p>
        </rich>
      </tx>
    </title>
    <plotArea>
      <barChart>
        <barDir val="col"/>
        <grouping val="stacked"/>
        <ser>
          <idx val="0"/>
          <order val="0"/>
          <tx>
            <strRef>
              <f>'CalcData'!C17</f>
            </strRef>
          </tx>
          <spPr>
            <a:solidFill>
              <a:srgbClr val="3E8E5A"/>
            </a:solidFill>
            <a:ln>
              <a:prstDash val="solid"/>
            </a:ln>
          </spPr>
          <cat>
            <strRef>
              <f>'CalcData'!$A$18:$A$21</f>
            </strRef>
          </cat>
          <val>
            <numRef>
              <f>'CalcData'!$C$18:$C$21</f>
            </numRef>
          </val>
        </ser>
        <ser>
          <idx val="1"/>
          <order val="1"/>
          <tx>
            <strRef>
              <f>'CalcData'!D17</f>
            </strRef>
          </tx>
          <spPr>
            <a:solidFill>
              <a:srgbClr val="C0392B"/>
            </a:solidFill>
            <a:ln>
              <a:prstDash val="solid"/>
            </a:ln>
          </spPr>
          <cat>
            <strRef>
              <f>'CalcData'!$A$18:$A$21</f>
            </strRef>
          </cat>
          <val>
            <numRef>
              <f>'CalcData'!$D$18:$D$21</f>
            </numRef>
          </val>
        </ser>
        <gapWidth val="6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Samples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Parameters by number of exceedances</a:t>
            </a:r>
          </a:p>
        </rich>
      </tx>
    </title>
    <plotArea>
      <barChart>
        <barDir val="bar"/>
        <grouping val="clustered"/>
        <ser>
          <idx val="0"/>
          <order val="0"/>
          <spPr>
            <a:solidFill>
              <a:srgbClr val="E8A33D"/>
            </a:solidFill>
            <a:ln>
              <a:prstDash val="solid"/>
            </a:ln>
          </spPr>
          <cat>
            <strRef>
              <f>'CalcData'!$A$25:$A$34</f>
            </strRef>
          </cat>
          <val>
            <numRef>
              <f>'CalcData'!$D$25:$D$34</f>
            </numRef>
          </val>
        </ser>
        <gapWidth val="40"/>
        <axId val="10"/>
        <axId val="100"/>
      </barChart>
      <catAx>
        <axId val="10"/>
        <scaling>
          <orientation val="minMax"/>
        </scaling>
        <axPos val="l"/>
        <title>
          <tx>
            <rich>
              <a:bodyPr/>
              <a:p>
                <a:pPr>
                  <a:defRPr/>
                </a:pPr>
                <a:r>
                  <a:t>Exceedances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Illness cases reported, by complaint type</a:t>
            </a:r>
          </a:p>
        </rich>
      </tx>
    </title>
    <plotArea>
      <barChart>
        <barDir val="col"/>
        <grouping val="clustered"/>
        <ser>
          <idx val="0"/>
          <order val="0"/>
          <spPr>
            <a:solidFill>
              <a:srgbClr val="C0392B"/>
            </a:solidFill>
            <a:ln>
              <a:prstDash val="solid"/>
            </a:ln>
          </spPr>
          <cat>
            <strRef>
              <f>'CalcData'!$A$38:$A$43</f>
            </strRef>
          </cat>
          <val>
            <numRef>
              <f>'CalcData'!$C$38:$C$43</f>
            </numRef>
          </val>
        </ser>
        <dLbls>
          <showVal val="1"/>
        </dLbls>
        <gapWidth val="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 reported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Complaint status</a:t>
            </a:r>
          </a:p>
        </rich>
      </tx>
    </title>
    <plotArea>
      <doughnutChart>
        <varyColors val="1"/>
        <ser>
          <idx val="0"/>
          <order val="0"/>
          <spPr>
            <a:ln>
              <a:prstDash val="solid"/>
            </a:ln>
          </spPr>
          <cat>
            <strRef>
              <f>'CalcData'!$A$47:$A$50</f>
            </strRef>
          </cat>
          <val>
            <numRef>
              <f>'CalcData'!$B$47:$B$50</f>
            </numRef>
          </val>
        </ser>
        <dLbls>
          <showVal val="1"/>
          <showCatName val="1"/>
        </dLbls>
        <firstSliceAng val="0"/>
        <holeSize val="55"/>
      </doughnutChart>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Complaints and illness cases by county</a:t>
            </a:r>
          </a:p>
        </rich>
      </tx>
    </title>
    <plotArea>
      <barChart>
        <barDir val="col"/>
        <grouping val="clustered"/>
        <ser>
          <idx val="0"/>
          <order val="0"/>
          <tx>
            <strRef>
              <f>'CalcData'!E53</f>
            </strRef>
          </tx>
          <spPr>
            <a:solidFill>
              <a:srgbClr val="2E6E9E"/>
            </a:solidFill>
            <a:ln>
              <a:prstDash val="solid"/>
            </a:ln>
          </spPr>
          <cat>
            <strRef>
              <f>'CalcData'!$A$54:$A$62</f>
            </strRef>
          </cat>
          <val>
            <numRef>
              <f>'CalcData'!$E$54:$E$62</f>
            </numRef>
          </val>
        </ser>
        <ser>
          <idx val="1"/>
          <order val="1"/>
          <tx>
            <strRef>
              <f>'CalcData'!F53</f>
            </strRef>
          </tx>
          <spPr>
            <a:solidFill>
              <a:srgbClr val="C0392B"/>
            </a:solidFill>
            <a:ln>
              <a:prstDash val="solid"/>
            </a:ln>
          </spPr>
          <cat>
            <strRef>
              <f>'CalcData'!$A$54:$A$62</f>
            </strRef>
          </cat>
          <val>
            <numRef>
              <f>'CalcData'!$F$54:$F$62</f>
            </numRef>
          </val>
        </ser>
        <gapWidth val="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Facility inspection outcomes</a:t>
            </a:r>
          </a:p>
        </rich>
      </tx>
    </title>
    <plotArea>
      <barChart>
        <barDir val="col"/>
        <grouping val="clustered"/>
        <ser>
          <idx val="0"/>
          <order val="0"/>
          <spPr>
            <a:solidFill>
              <a:srgbClr val="12775F"/>
            </a:solidFill>
            <a:ln>
              <a:prstDash val="solid"/>
            </a:ln>
          </spPr>
          <cat>
            <strRef>
              <f>'CalcData'!$A$66:$A$68</f>
            </strRef>
          </cat>
          <val>
            <numRef>
              <f>'CalcData'!$B$66:$B$68</f>
            </numRef>
          </val>
        </ser>
        <dLbls>
          <showVal val="1"/>
        </dLbls>
        <gapWidth val="7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Inspections</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Non-compliance rate by facility type</a:t>
            </a:r>
          </a:p>
        </rich>
      </tx>
    </title>
    <plotArea>
      <barChart>
        <barDir val="bar"/>
        <grouping val="clustered"/>
        <ser>
          <idx val="0"/>
          <order val="0"/>
          <spPr>
            <a:solidFill>
              <a:srgbClr val="E8A33D"/>
            </a:solidFill>
            <a:ln>
              <a:prstDash val="solid"/>
            </a:ln>
          </spPr>
          <cat>
            <strRef>
              <f>'CalcData'!$A$71:$A$76</f>
            </strRef>
          </cat>
          <val>
            <numRef>
              <f>'CalcData'!$D$71:$D$76</f>
            </numRef>
          </val>
        </ser>
        <gapWidth val="40"/>
        <axId val="10"/>
        <axId val="100"/>
      </barChart>
      <catAx>
        <axId val="10"/>
        <scaling>
          <orientation val="minMax"/>
        </scaling>
        <axPos val="l"/>
        <title>
          <tx>
            <rich>
              <a:bodyPr/>
              <a:p>
                <a:pPr>
                  <a:defRPr/>
                </a:pPr>
                <a:r>
                  <a:t>Share inspected and found non-compliant</a:t>
                </a:r>
              </a:p>
            </rich>
          </tx>
        </title>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ERRS Manager</author>
  </authors>
  <commentList>
    <comment ref="C3" authorId="0" shapeId="0">
      <text>
        <t>Pulled from the Sample Date column.
Calculated column - leave the formula alone.</t>
      </text>
    </comment>
    <comment ref="M3" authorId="0" shapeId="0">
      <text>
        <t>Compares Result against Limit Min / Limit Max - "Yes" or "No".
Calculated column - leave the formula alone.</t>
      </text>
    </comment>
    <comment ref="N3" authorId="0" shapeId="0">
      <text>
        <t>Result divided by Limit Max - how far above (or below) the limit the sample came out. Blank where the limit is zero.
Calculated column - leave the formula alone.</t>
      </text>
    </comment>
  </commentList>
</comments>
</file>

<file path=xl/comments/comment2.xml><?xml version="1.0" encoding="utf-8"?>
<comments xmlns="http://schemas.openxmlformats.org/spreadsheetml/2006/main">
  <authors>
    <author>ERRS Manager</author>
  </authors>
  <commentList>
    <comment ref="C3" authorId="0" shapeId="0">
      <text>
        <t>Pulled from the Date Received column.
Calculated column - leave the formula alone.</t>
      </text>
    </comment>
    <comment ref="L3" authorId="0" shapeId="0">
      <text>
        <t>Date Closed minus Date Received. Blank while a complaint is still open.
Calculated column - leave the formula alone.</t>
      </text>
    </comment>
  </commentList>
</comments>
</file>

<file path=xl/comments/comment3.xml><?xml version="1.0" encoding="utf-8"?>
<comments xmlns="http://schemas.openxmlformats.org/spreadsheetml/2006/main">
  <authors>
    <author>ERRS Manager</author>
  </authors>
  <commentList>
    <comment ref="C3" authorId="0" shapeId="0">
      <text>
        <t>Pulled from the Inspection Date column.
Calculated column - leave the formula alone.</t>
      </text>
    </comment>
  </commentList>
</comments>
</file>

<file path=xl/comments/comment4.xml><?xml version="1.0" encoding="utf-8"?>
<comments xmlns="http://schemas.openxmlformats.org/spreadsheetml/2006/main">
  <authors>
    <author>ERRS Manager</author>
  </authors>
  <commentList>
    <comment ref="G3" authorId="0" shapeId="0">
      <text>
        <t>Compares the dose in column F against the 20 mSv annual occupational limit.
Calculated column - leave the formula alone.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4176000" cy="3096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21</row>
      <rowOff>0</rowOff>
    </from>
    <ext cx="4176000" cy="3096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38</row>
      <rowOff>0</rowOff>
    </from>
    <ext cx="4176000" cy="3096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38</row>
      <rowOff>0</rowOff>
    </from>
    <ext cx="4176000" cy="3096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55</row>
      <rowOff>0</rowOff>
    </from>
    <ext cx="4176000" cy="3096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55</row>
      <rowOff>0</rowOff>
    </from>
    <ext cx="4176000" cy="3096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72</row>
      <rowOff>0</rowOff>
    </from>
    <ext cx="4176000" cy="3096000"/>
    <graphicFrame>
      <nvGraphicFramePr>
        <cNvPr id="7" name="Chart 7"/>
        <cNvGraphicFramePr/>
      </nvGraphicFramePr>
      <xfrm/>
      <a:graphic>
        <a:graphicData uri="http://schemas.openxmlformats.org/drawingml/2006/chart">
          <c:chart r:id="rId7"/>
        </a:graphicData>
      </a:graphic>
    </graphicFrame>
    <clientData/>
  </oneCellAnchor>
  <oneCellAnchor>
    <from>
      <col>7</col>
      <colOff>0</colOff>
      <row>72</row>
      <rowOff>0</rowOff>
    </from>
    <ext cx="4176000" cy="3096000"/>
    <graphicFrame>
      <nvGraphicFramePr>
        <cNvPr id="8" name="Chart 8"/>
        <cNvGraphicFramePr/>
      </nvGraphicFramePr>
      <xfrm/>
      <a:graphic>
        <a:graphicData uri="http://schemas.openxmlformats.org/drawingml/2006/chart">
          <c:chart r:id="rId8"/>
        </a:graphicData>
      </a:graphic>
    </graphicFrame>
    <clientData/>
  </oneCellAnchor>
</wsDr>
</file>

<file path=xl/tables/table1.xml><?xml version="1.0" encoding="utf-8"?>
<table xmlns="http://schemas.openxmlformats.org/spreadsheetml/2006/main" id="1" name="LabResults" displayName="LabResults" ref="A3:Q539" headerRowCount="1">
  <autoFilter ref="A3:Q539"/>
  <tableColumns count="17">
    <tableColumn id="1" name="Sample ID"/>
    <tableColumn id="2" name="Sample Date"/>
    <tableColumn id="3" name="Month"/>
    <tableColumn id="4" name="County"/>
    <tableColumn id="5" name="Community / Site"/>
    <tableColumn id="6" name="Source Type"/>
    <tableColumn id="7" name="Medium"/>
    <tableColumn id="8" name="Parameter"/>
    <tableColumn id="9" name="Result"/>
    <tableColumn id="10" name="Unit"/>
    <tableColumn id="11" name="Limit Min"/>
    <tableColumn id="12" name="Limit Max"/>
    <tableColumn id="13" name="Within Limit"/>
    <tableColumn id="14" name="Exceedance Ratio"/>
    <tableColumn id="15" name="Population Served"/>
    <tableColumn id="16" name="Nearest Health Facility"/>
    <tableColumn id="17" name="Analyst"/>
  </tableColumns>
  <tableStyleInfo name="TableStyleMedium2" showFirstColumn="0" showLastColumn="0" showRowStripes="1" showColumnStripes="0"/>
</table>
</file>

<file path=xl/tables/table2.xml><?xml version="1.0" encoding="utf-8"?>
<table xmlns="http://schemas.openxmlformats.org/spreadsheetml/2006/main" id="2" name="HealthComplaints" displayName="HealthComplaints" ref="A3:N108" headerRowCount="1">
  <autoFilter ref="A3:N108"/>
  <tableColumns count="14">
    <tableColumn id="1" name="Complaint ID"/>
    <tableColumn id="2" name="Date Received"/>
    <tableColumn id="3" name="Month"/>
    <tableColumn id="4" name="County"/>
    <tableColumn id="5" name="Community"/>
    <tableColumn id="6" name="Complaint Type"/>
    <tableColumn id="7" name="Description"/>
    <tableColumn id="8" name="Illness Cases Reported"/>
    <tableColumn id="9" name="Severity"/>
    <tableColumn id="10" name="Status"/>
    <tableColumn id="11" name="Date Closed"/>
    <tableColumn id="12" name="Days to Resolve"/>
    <tableColumn id="13" name="Linked to Lab Exceedance"/>
    <tableColumn id="14" name="Action Taken"/>
  </tableColumns>
  <tableStyleInfo name="TableStyleMedium2" showFirstColumn="0" showLastColumn="0" showRowStripes="1" showColumnStripes="0"/>
</table>
</file>

<file path=xl/tables/table3.xml><?xml version="1.0" encoding="utf-8"?>
<table xmlns="http://schemas.openxmlformats.org/spreadsheetml/2006/main" id="3" name="Inspections" displayName="Inspections" ref="A3:L85" headerRowCount="1">
  <autoFilter ref="A3:L85"/>
  <tableColumns count="12">
    <tableColumn id="1" name="Inspection ID"/>
    <tableColumn id="2" name="Inspection Date"/>
    <tableColumn id="3" name="Month"/>
    <tableColumn id="4" name="County"/>
    <tableColumn id="5" name="Facility"/>
    <tableColumn id="6" name="Facility Type"/>
    <tableColumn id="7" name="Outcome"/>
    <tableColumn id="8" name="Health Risk Score (1-10)"/>
    <tableColumn id="9" name="Key Findings"/>
    <tableColumn id="10" name="Follow-up Required"/>
    <tableColumn id="11" name="Follow-up Complete"/>
    <tableColumn id="12" name="Inspector"/>
  </tableColumns>
  <tableStyleInfo name="TableStyleMedium2" showFirstColumn="0" showLastColumn="0" showRowStripes="1" showColumnStripes="0"/>
</table>
</file>

<file path=xl/tables/table4.xml><?xml version="1.0" encoding="utf-8"?>
<table xmlns="http://schemas.openxmlformats.org/spreadsheetml/2006/main" id="4" name="RadiationSafety" displayName="RadiationSafety" ref="A3:K45" headerRowCount="1">
  <autoFilter ref="A3:K45"/>
  <tableColumns count="11">
    <tableColumn id="1" name="Facility"/>
    <tableColumn id="2" name="County"/>
    <tableColumn id="3" name="Facility Type"/>
    <tableColumn id="4" name="Sources Inventoried"/>
    <tableColumn id="5" name="Workers Monitored"/>
    <tableColumn id="6" name="Avg Annual Dose (mSv)"/>
    <tableColumn id="7" name="Within 20 mSv Limit"/>
    <tableColumn id="8" name="PPE Compliance"/>
    <tableColumn id="9" name="Instrument Calibration Current"/>
    <tableColumn id="10" name="Last Inventory Date"/>
    <tableColumn id="11" name="Notes"/>
  </tableColumns>
  <tableStyleInfo name="TableStyleMedium2" showFirstColumn="0" showLastColumn="0" showRowStripes="1" showColumnStripes="0"/>
</table>
</file>

<file path=xl/tables/table5.xml><?xml version="1.0" encoding="utf-8"?>
<table xmlns="http://schemas.openxmlformats.org/spreadsheetml/2006/main" id="5" name="Limits" displayName="Limits" ref="A5:F22" headerRowCount="1">
  <autoFilter ref="A5:F22"/>
  <tableColumns count="6">
    <tableColumn id="1" name="Medium"/>
    <tableColumn id="2" name="Parameter"/>
    <tableColumn id="3" name="Unit"/>
    <tableColumn id="4" name="Limit Min"/>
    <tableColumn id="5" name="Limit Max"/>
    <tableColumn id="6" name="Basi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000E5C4A"/>
    <outlinePr summaryBelow="1" summaryRight="1"/>
    <pageSetUpPr fitToPage="1"/>
  </sheetPr>
  <dimension ref="B1:M21"/>
  <sheetViews>
    <sheetView showGridLines="0" tabSelected="1" workbookViewId="0">
      <selection activeCell="A1" sqref="A1"/>
    </sheetView>
  </sheetViews>
  <sheetFormatPr baseColWidth="8" defaultRowHeight="15"/>
  <cols>
    <col width="2.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2.5" customWidth="1" min="14" max="14"/>
  </cols>
  <sheetData>
    <row r="1" ht="38" customHeight="1">
      <c r="B1" s="1" t="inlineStr">
        <is>
          <t>Environmental &amp; Public Health Dashboard</t>
        </is>
      </c>
    </row>
    <row r="2" ht="16" customHeight="1">
      <c r="B2" s="2" t="inlineStr">
        <is>
          <t>Liberia Environmental Protection Agency  |  Environmental Research &amp; Radiation Safety (ERRS) Department  |  Reporting period: January - August 2026  |  Sample data - replace with real records</t>
        </is>
      </c>
    </row>
    <row r="3" ht="6" customHeight="1"/>
    <row r="4" ht="6" customHeight="1"/>
    <row r="5" ht="15" customHeight="1">
      <c r="B5" s="3" t="inlineStr">
        <is>
          <t>SAMPLES TESTED</t>
        </is>
      </c>
      <c r="C5" s="4" t="n"/>
      <c r="D5" s="5" t="n"/>
      <c r="E5" s="6" t="inlineStr">
        <is>
          <t>WITHIN SAFETY LIMITS</t>
        </is>
      </c>
      <c r="F5" s="7" t="n"/>
      <c r="G5" s="8" t="n"/>
      <c r="H5" s="9" t="inlineStr">
        <is>
          <t>EXCEEDANCES DETECTED</t>
        </is>
      </c>
      <c r="I5" s="10" t="n"/>
      <c r="J5" s="11" t="n"/>
      <c r="K5" s="3" t="inlineStr">
        <is>
          <t>POPULATION SERVED</t>
        </is>
      </c>
      <c r="L5" s="4" t="n"/>
      <c r="M5" s="5" t="n"/>
    </row>
    <row r="6" ht="31" customHeight="1">
      <c r="B6" s="12">
        <f>CalcData!$B$93</f>
        <v>536</v>
      </c>
      <c r="C6" s="13" t="n"/>
      <c r="D6" s="14" t="n"/>
      <c r="E6" s="15">
        <f>CalcData!$B$96</f>
        <v>0.8059701493</v>
      </c>
      <c r="F6" s="13" t="n"/>
      <c r="G6" s="14" t="n"/>
      <c r="H6" s="16">
        <f>CalcData!$B$95</f>
        <v>104</v>
      </c>
      <c r="I6" s="13" t="n"/>
      <c r="J6" s="14" t="n"/>
      <c r="K6" s="12">
        <f>CalcData!$B$97</f>
        <v>683050</v>
      </c>
      <c r="L6" s="13" t="n"/>
      <c r="M6" s="14" t="n"/>
    </row>
    <row r="7" ht="28" customHeight="1">
      <c r="B7" s="17" t="inlineStr">
        <is>
          <t>Environmental samples analysed against a safety limit</t>
        </is>
      </c>
      <c r="C7" s="18" t="n"/>
      <c r="D7" s="19" t="n"/>
      <c r="E7" s="17" t="inlineStr">
        <is>
          <t>Share of samples at or below the WHO / IAEA guideline applied</t>
        </is>
      </c>
      <c r="F7" s="18" t="n"/>
      <c r="G7" s="19" t="n"/>
      <c r="H7" s="17" t="inlineStr">
        <is>
          <t>Results above the applicable safety limit</t>
        </is>
      </c>
      <c r="I7" s="18" t="n"/>
      <c r="J7" s="19" t="n"/>
      <c r="K7" s="17" t="inlineStr">
        <is>
          <t>People relying on the water sources and sites monitored</t>
        </is>
      </c>
      <c r="L7" s="18" t="n"/>
      <c r="M7" s="19" t="n"/>
    </row>
    <row r="8" ht="7" customHeight="1"/>
    <row r="9" ht="7" customHeight="1"/>
    <row r="10" ht="15" customHeight="1">
      <c r="B10" s="9" t="inlineStr">
        <is>
          <t>ILLNESS CASES REPORTED</t>
        </is>
      </c>
      <c r="C10" s="10" t="n"/>
      <c r="D10" s="11" t="n"/>
      <c r="E10" s="3" t="inlineStr">
        <is>
          <t>COMPLAINTS STILL OPEN</t>
        </is>
      </c>
      <c r="F10" s="4" t="n"/>
      <c r="G10" s="5" t="n"/>
      <c r="H10" s="20" t="inlineStr">
        <is>
          <t>AVG DAYS TO RESOLVE</t>
        </is>
      </c>
      <c r="I10" s="21" t="n"/>
      <c r="J10" s="22" t="n"/>
      <c r="K10" s="6" t="inlineStr">
        <is>
          <t>FACILITY COMPLIANCE</t>
        </is>
      </c>
      <c r="L10" s="7" t="n"/>
      <c r="M10" s="8" t="n"/>
    </row>
    <row r="11" ht="31" customHeight="1">
      <c r="B11" s="12">
        <f>CalcData!$B$98</f>
        <v>1161</v>
      </c>
      <c r="C11" s="13" t="n"/>
      <c r="D11" s="14" t="n"/>
      <c r="E11" s="12">
        <f>CalcData!$B$100</f>
        <v>46</v>
      </c>
      <c r="F11" s="13" t="n"/>
      <c r="G11" s="14" t="n"/>
      <c r="H11" s="23">
        <f>CalcData!$B$102</f>
        <v>19.5084745763</v>
      </c>
      <c r="I11" s="13" t="n"/>
      <c r="J11" s="14" t="n"/>
      <c r="K11" s="15">
        <f>CalcData!$B$104</f>
        <v>0.6097560976</v>
      </c>
      <c r="L11" s="13" t="n"/>
      <c r="M11" s="14" t="n"/>
    </row>
    <row r="12" ht="28" customHeight="1">
      <c r="B12" s="17" t="inlineStr">
        <is>
          <t>Cases linked to an environmental health complaint</t>
        </is>
      </c>
      <c r="C12" s="18" t="n"/>
      <c r="D12" s="19" t="n"/>
      <c r="E12" s="17" t="inlineStr">
        <is>
          <t>Received, investigating, or awaiting findings</t>
        </is>
      </c>
      <c r="F12" s="18" t="n"/>
      <c r="G12" s="19" t="n"/>
      <c r="H12" s="17" t="inlineStr">
        <is>
          <t>Average time from receipt to closure</t>
        </is>
      </c>
      <c r="I12" s="18" t="n"/>
      <c r="J12" s="19" t="n"/>
      <c r="K12" s="17" t="inlineStr">
        <is>
          <t>Inspected facilities found compliant on the day</t>
        </is>
      </c>
      <c r="L12" s="18" t="n"/>
      <c r="M12" s="19" t="n"/>
    </row>
    <row r="13" ht="7" customHeight="1"/>
    <row r="14" ht="7" customHeight="1"/>
    <row r="15" ht="15" customHeight="1">
      <c r="B15" s="24" t="inlineStr">
        <is>
          <t>RADIATION FACILITIES</t>
        </is>
      </c>
      <c r="C15" s="25" t="n"/>
      <c r="D15" s="26" t="n"/>
      <c r="E15" s="24" t="inlineStr">
        <is>
          <t>AVG OCCUPATIONAL DOSE</t>
        </is>
      </c>
      <c r="F15" s="25" t="n"/>
      <c r="G15" s="26" t="n"/>
      <c r="H15" s="9" t="inlineStr">
        <is>
          <t>HIGH / CRITICAL COMPLAINTS</t>
        </is>
      </c>
      <c r="I15" s="10" t="n"/>
      <c r="J15" s="11" t="n"/>
      <c r="K15" s="20" t="inlineStr">
        <is>
          <t>WATER EXCEEDANCE RATE</t>
        </is>
      </c>
      <c r="L15" s="21" t="n"/>
      <c r="M15" s="22" t="n"/>
    </row>
    <row r="16" ht="31" customHeight="1">
      <c r="B16" s="12">
        <f>CalcData!$B$106</f>
        <v>42</v>
      </c>
      <c r="C16" s="13" t="n"/>
      <c r="D16" s="14" t="n"/>
      <c r="E16" s="27">
        <f>CalcData!$B$107</f>
        <v>6.8595238095</v>
      </c>
      <c r="F16" s="13" t="n"/>
      <c r="G16" s="14" t="n"/>
      <c r="H16" s="16">
        <f>CalcData!$B$101</f>
        <v>33</v>
      </c>
      <c r="I16" s="13" t="n"/>
      <c r="J16" s="14" t="n"/>
      <c r="K16" s="15">
        <f>CalcData!$B$105</f>
        <v>0.1914893617</v>
      </c>
      <c r="L16" s="13" t="n"/>
      <c r="M16" s="14" t="n"/>
    </row>
    <row r="17" ht="28" customHeight="1">
      <c r="B17" s="17" t="inlineStr">
        <is>
          <t>Licensed facilities holding radioactive sources</t>
        </is>
      </c>
      <c r="C17" s="18" t="n"/>
      <c r="D17" s="19" t="n"/>
      <c r="E17" s="17" t="inlineStr">
        <is>
          <t>Per monitored worker, against the 20 mSv annual limit</t>
        </is>
      </c>
      <c r="F17" s="18" t="n"/>
      <c r="G17" s="19" t="n"/>
      <c r="H17" s="17" t="inlineStr">
        <is>
          <t>Complaints graded High or Critical by illness burden</t>
        </is>
      </c>
      <c r="I17" s="18" t="n"/>
      <c r="J17" s="19" t="n"/>
      <c r="K17" s="17" t="inlineStr">
        <is>
          <t>Share of water samples above limit - the headline exposure risk</t>
        </is>
      </c>
      <c r="L17" s="18" t="n"/>
      <c r="M17" s="19" t="n"/>
    </row>
    <row r="18" ht="7" customHeight="1"/>
    <row r="19" ht="7" customHeight="1"/>
    <row r="20" ht="7" customHeight="1"/>
    <row r="21" ht="24" customHeight="1">
      <c r="B21" s="28" t="inlineStr">
        <is>
          <t>Trends and breakdowns</t>
        </is>
      </c>
    </row>
  </sheetData>
  <mergeCells count="39">
    <mergeCell ref="B11:D11"/>
    <mergeCell ref="B2:M2"/>
    <mergeCell ref="E10:G10"/>
    <mergeCell ref="B17:D17"/>
    <mergeCell ref="B1:M1"/>
    <mergeCell ref="K12:M12"/>
    <mergeCell ref="H17:J17"/>
    <mergeCell ref="E15:G15"/>
    <mergeCell ref="H11:J11"/>
    <mergeCell ref="H7:J7"/>
    <mergeCell ref="E6:G6"/>
    <mergeCell ref="B10:D10"/>
    <mergeCell ref="H16:J16"/>
    <mergeCell ref="E11:G11"/>
    <mergeCell ref="H12:J12"/>
    <mergeCell ref="K17:M17"/>
    <mergeCell ref="B15:D15"/>
    <mergeCell ref="E7:G7"/>
    <mergeCell ref="B6:D6"/>
    <mergeCell ref="K7:M7"/>
    <mergeCell ref="E16:G16"/>
    <mergeCell ref="H15:J15"/>
    <mergeCell ref="B5:D5"/>
    <mergeCell ref="K10:M10"/>
    <mergeCell ref="K6:M6"/>
    <mergeCell ref="H5:J5"/>
    <mergeCell ref="E12:G12"/>
    <mergeCell ref="B7:D7"/>
    <mergeCell ref="K16:M16"/>
    <mergeCell ref="B16:D16"/>
    <mergeCell ref="K15:M15"/>
    <mergeCell ref="H10:J10"/>
    <mergeCell ref="E5:G5"/>
    <mergeCell ref="K5:M5"/>
    <mergeCell ref="E17:G17"/>
    <mergeCell ref="B12:D12"/>
    <mergeCell ref="B21:M21"/>
    <mergeCell ref="K11:M11"/>
    <mergeCell ref="H6:J6"/>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39"/>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7" customWidth="1" min="3" max="3"/>
    <col width="16" customWidth="1" min="4" max="4"/>
    <col width="34" customWidth="1" min="5" max="5"/>
    <col width="21" customWidth="1" min="6" max="6"/>
    <col width="17" customWidth="1" min="7" max="7"/>
    <col width="21" customWidth="1" min="8" max="8"/>
    <col width="11" customWidth="1" min="9" max="9"/>
    <col width="12" customWidth="1" min="10" max="10"/>
    <col width="10" customWidth="1" min="11" max="11"/>
    <col width="10" customWidth="1" min="12" max="12"/>
    <col width="12" customWidth="1" min="13" max="13"/>
    <col width="15" customWidth="1" min="14" max="14"/>
    <col width="16" customWidth="1" min="15" max="15"/>
    <col width="30" customWidth="1" min="16" max="16"/>
    <col width="13" customWidth="1" min="17" max="17"/>
  </cols>
  <sheetData>
    <row r="1" ht="26" customHeight="1">
      <c r="A1" s="29" t="inlineStr">
        <is>
          <t>Laboratory Results - Environmental Health Sampling</t>
        </is>
      </c>
    </row>
    <row r="2" ht="15" customHeight="1">
      <c r="A2" s="30" t="inlineStr">
        <is>
          <t>One row per sample. 'Within Limit' and 'Exceedance Ratio' are formulas - type a new Result or change a limit and they update themselves.</t>
        </is>
      </c>
    </row>
    <row r="3" ht="30" customHeight="1">
      <c r="A3" s="31" t="inlineStr">
        <is>
          <t>Sample ID</t>
        </is>
      </c>
      <c r="B3" s="31" t="inlineStr">
        <is>
          <t>Sample Date</t>
        </is>
      </c>
      <c r="C3" s="31" t="inlineStr">
        <is>
          <t>Month</t>
        </is>
      </c>
      <c r="D3" s="31" t="inlineStr">
        <is>
          <t>County</t>
        </is>
      </c>
      <c r="E3" s="31" t="inlineStr">
        <is>
          <t>Community / Site</t>
        </is>
      </c>
      <c r="F3" s="31" t="inlineStr">
        <is>
          <t>Source Type</t>
        </is>
      </c>
      <c r="G3" s="31" t="inlineStr">
        <is>
          <t>Medium</t>
        </is>
      </c>
      <c r="H3" s="31" t="inlineStr">
        <is>
          <t>Parameter</t>
        </is>
      </c>
      <c r="I3" s="31" t="inlineStr">
        <is>
          <t>Result</t>
        </is>
      </c>
      <c r="J3" s="31" t="inlineStr">
        <is>
          <t>Unit</t>
        </is>
      </c>
      <c r="K3" s="31" t="inlineStr">
        <is>
          <t>Limit Min</t>
        </is>
      </c>
      <c r="L3" s="31" t="inlineStr">
        <is>
          <t>Limit Max</t>
        </is>
      </c>
      <c r="M3" s="31" t="inlineStr">
        <is>
          <t>Within Limit</t>
        </is>
      </c>
      <c r="N3" s="31" t="inlineStr">
        <is>
          <t>Exceedance Ratio</t>
        </is>
      </c>
      <c r="O3" s="31" t="inlineStr">
        <is>
          <t>Population Served</t>
        </is>
      </c>
      <c r="P3" s="31" t="inlineStr">
        <is>
          <t>Nearest Health Facility</t>
        </is>
      </c>
      <c r="Q3" s="31" t="inlineStr">
        <is>
          <t>Analyst</t>
        </is>
      </c>
    </row>
    <row r="4">
      <c r="A4" t="inlineStr">
        <is>
          <t>AQ-2026-00001</t>
        </is>
      </c>
      <c r="B4" s="32" t="n">
        <v>46037</v>
      </c>
      <c r="C4" s="33">
        <f>MONTH(B4)</f>
        <v>1</v>
      </c>
      <c r="D4" t="inlineStr">
        <is>
          <t>Bong</t>
        </is>
      </c>
      <c r="E4" t="inlineStr">
        <is>
          <t>Maryland Oil Palm Estate</t>
        </is>
      </c>
      <c r="F4" t="inlineStr">
        <is>
          <t>Industrial Perimeter</t>
        </is>
      </c>
      <c r="G4" t="inlineStr">
        <is>
          <t>Air</t>
        </is>
      </c>
      <c r="H4" t="inlineStr">
        <is>
          <t>PM2.5</t>
        </is>
      </c>
      <c r="I4" t="n">
        <v>18.5</v>
      </c>
      <c r="J4" t="inlineStr">
        <is>
          <t>ug/m3</t>
        </is>
      </c>
      <c r="K4" t="n">
        <v>0</v>
      </c>
      <c r="L4" t="n">
        <v>25</v>
      </c>
      <c r="M4" t="str">
        <f>IF(AND(I4&gt;=K4,I4&lt;=L4),"Yes","No")</f>
        <v>Yes</v>
      </c>
      <c r="N4" s="34">
        <f>IF(L4=0,"",I4/L4)</f>
        <v>0.74</v>
      </c>
      <c r="O4" s="33" t="n">
        <v>200</v>
      </c>
      <c r="P4" t="inlineStr">
        <is>
          <t>Suakoko Clinic</t>
        </is>
      </c>
      <c r="Q4" t="inlineStr">
        <is>
          <t>J. Nyeman</t>
        </is>
      </c>
    </row>
    <row r="5">
      <c r="A5" t="inlineStr">
        <is>
          <t>WQ-2026-00002</t>
        </is>
      </c>
      <c r="B5" s="32" t="n">
        <v>46043</v>
      </c>
      <c r="C5" s="33">
        <f>MONTH(B5)</f>
        <v>1</v>
      </c>
      <c r="D5" t="inlineStr">
        <is>
          <t>Montserrado</t>
        </is>
      </c>
      <c r="E5" t="inlineStr">
        <is>
          <t>Caldwell - River / Stream Intake</t>
        </is>
      </c>
      <c r="F5" t="inlineStr">
        <is>
          <t>River / Stream Intake</t>
        </is>
      </c>
      <c r="G5" t="inlineStr">
        <is>
          <t>Water</t>
        </is>
      </c>
      <c r="H5" t="inlineStr">
        <is>
          <t>Total Coliform</t>
        </is>
      </c>
      <c r="I5" t="n">
        <v>0</v>
      </c>
      <c r="J5" t="inlineStr">
        <is>
          <t>CFU/100 mL</t>
        </is>
      </c>
      <c r="K5" t="n">
        <v>0</v>
      </c>
      <c r="L5" t="n">
        <v>0</v>
      </c>
      <c r="M5" t="str">
        <f>IF(AND(I5&gt;=K5,I5&lt;=L5),"Yes","No")</f>
        <v>Yes</v>
      </c>
      <c r="N5" s="34">
        <f>IF(L5=0,"",I5/L5)</f>
        <v/>
      </c>
      <c r="O5" s="33" t="n">
        <v>1800</v>
      </c>
      <c r="P5" t="inlineStr">
        <is>
          <t>Benson Hospital</t>
        </is>
      </c>
      <c r="Q5" t="inlineStr">
        <is>
          <t>J. Nyeman</t>
        </is>
      </c>
    </row>
    <row r="6">
      <c r="A6" t="inlineStr">
        <is>
          <t>WQ-2026-00003</t>
        </is>
      </c>
      <c r="B6" s="32" t="n">
        <v>46027</v>
      </c>
      <c r="C6" s="33">
        <f>MONTH(B6)</f>
        <v>1</v>
      </c>
      <c r="D6" t="inlineStr">
        <is>
          <t>Bong</t>
        </is>
      </c>
      <c r="E6" t="inlineStr">
        <is>
          <t>Salala - River / Stream Intake</t>
        </is>
      </c>
      <c r="F6" t="inlineStr">
        <is>
          <t>River / Stream Intake</t>
        </is>
      </c>
      <c r="G6" t="inlineStr">
        <is>
          <t>Water</t>
        </is>
      </c>
      <c r="H6" t="inlineStr">
        <is>
          <t>Lead</t>
        </is>
      </c>
      <c r="I6" t="n">
        <v>0.0133</v>
      </c>
      <c r="J6" t="inlineStr">
        <is>
          <t>mg/L</t>
        </is>
      </c>
      <c r="K6" t="n">
        <v>0</v>
      </c>
      <c r="L6" t="n">
        <v>0.01</v>
      </c>
      <c r="M6" t="str">
        <f>IF(AND(I6&gt;=K6,I6&lt;=L6),"Yes","No")</f>
        <v>No</v>
      </c>
      <c r="N6" s="34">
        <f>IF(L6=0,"",I6/L6)</f>
        <v>1.33</v>
      </c>
      <c r="O6" s="33" t="n">
        <v>750</v>
      </c>
      <c r="P6" t="inlineStr">
        <is>
          <t>Gbarnga Health Center</t>
        </is>
      </c>
      <c r="Q6" t="inlineStr">
        <is>
          <t>S. Dolo</t>
        </is>
      </c>
    </row>
    <row r="7">
      <c r="A7" t="inlineStr">
        <is>
          <t>WQ-2026-00004</t>
        </is>
      </c>
      <c r="B7" s="32" t="n">
        <v>46047</v>
      </c>
      <c r="C7" s="33">
        <f>MONTH(B7)</f>
        <v>1</v>
      </c>
      <c r="D7" t="inlineStr">
        <is>
          <t>Montserrado</t>
        </is>
      </c>
      <c r="E7" t="inlineStr">
        <is>
          <t>Gardnersville - Community Borehole</t>
        </is>
      </c>
      <c r="F7" t="inlineStr">
        <is>
          <t>Community Borehole</t>
        </is>
      </c>
      <c r="G7" t="inlineStr">
        <is>
          <t>Water</t>
        </is>
      </c>
      <c r="H7" t="inlineStr">
        <is>
          <t>Nitrate (as NO3)</t>
        </is>
      </c>
      <c r="I7" t="n">
        <v>3.3</v>
      </c>
      <c r="J7" t="inlineStr">
        <is>
          <t>mg/L</t>
        </is>
      </c>
      <c r="K7" t="n">
        <v>0</v>
      </c>
      <c r="L7" t="n">
        <v>10</v>
      </c>
      <c r="M7" t="str">
        <f>IF(AND(I7&gt;=K7,I7&lt;=L7),"Yes","No")</f>
        <v>Yes</v>
      </c>
      <c r="N7" s="34">
        <f>IF(L7=0,"",I7/L7)</f>
        <v>0.33</v>
      </c>
      <c r="O7" s="33" t="n">
        <v>2500</v>
      </c>
      <c r="P7" t="inlineStr">
        <is>
          <t>Redemption Hospital</t>
        </is>
      </c>
      <c r="Q7" t="inlineStr">
        <is>
          <t>T. Mulbah</t>
        </is>
      </c>
    </row>
    <row r="8">
      <c r="A8" t="inlineStr">
        <is>
          <t>SL-2026-00005</t>
        </is>
      </c>
      <c r="B8" s="32" t="n">
        <v>46035</v>
      </c>
      <c r="C8" s="33">
        <f>MONTH(B8)</f>
        <v>1</v>
      </c>
      <c r="D8" t="inlineStr">
        <is>
          <t>Montserrado</t>
        </is>
      </c>
      <c r="E8" t="inlineStr">
        <is>
          <t>Caldwell - Playground</t>
        </is>
      </c>
      <c r="F8" t="inlineStr">
        <is>
          <t>Playground</t>
        </is>
      </c>
      <c r="G8" t="inlineStr">
        <is>
          <t>Soil</t>
        </is>
      </c>
      <c r="H8" t="inlineStr">
        <is>
          <t>Cadmium</t>
        </is>
      </c>
      <c r="I8" t="n">
        <v>1.2</v>
      </c>
      <c r="J8" t="inlineStr">
        <is>
          <t>mg/kg</t>
        </is>
      </c>
      <c r="K8" t="n">
        <v>0</v>
      </c>
      <c r="L8" t="n">
        <v>3</v>
      </c>
      <c r="M8" t="str">
        <f>IF(AND(I8&gt;=K8,I8&lt;=L8),"Yes","No")</f>
        <v>Yes</v>
      </c>
      <c r="N8" s="34">
        <f>IF(L8=0,"",I8/L8)</f>
        <v>0.4</v>
      </c>
      <c r="O8" s="33" t="n">
        <v>0</v>
      </c>
      <c r="P8" t="inlineStr">
        <is>
          <t>St. Joseph's Catholic Hospital</t>
        </is>
      </c>
      <c r="Q8" t="inlineStr">
        <is>
          <t>A. Kollie</t>
        </is>
      </c>
    </row>
    <row r="9">
      <c r="A9" t="inlineStr">
        <is>
          <t>WQ-2026-00006</t>
        </is>
      </c>
      <c r="B9" s="32" t="n">
        <v>46028</v>
      </c>
      <c r="C9" s="33">
        <f>MONTH(B9)</f>
        <v>1</v>
      </c>
      <c r="D9" t="inlineStr">
        <is>
          <t>Montserrado</t>
        </is>
      </c>
      <c r="E9" t="inlineStr">
        <is>
          <t>Caldwell - Community Borehole</t>
        </is>
      </c>
      <c r="F9" t="inlineStr">
        <is>
          <t>Community Borehole</t>
        </is>
      </c>
      <c r="G9" t="inlineStr">
        <is>
          <t>Water</t>
        </is>
      </c>
      <c r="H9" t="inlineStr">
        <is>
          <t>Arsenic</t>
        </is>
      </c>
      <c r="I9" t="n">
        <v>0.0077</v>
      </c>
      <c r="J9" t="inlineStr">
        <is>
          <t>mg/L</t>
        </is>
      </c>
      <c r="K9" t="n">
        <v>0</v>
      </c>
      <c r="L9" t="n">
        <v>0.01</v>
      </c>
      <c r="M9" t="str">
        <f>IF(AND(I9&gt;=K9,I9&lt;=L9),"Yes","No")</f>
        <v>Yes</v>
      </c>
      <c r="N9" s="34">
        <f>IF(L9=0,"",I9/L9)</f>
        <v>0.77</v>
      </c>
      <c r="O9" s="33" t="n">
        <v>900</v>
      </c>
      <c r="P9" t="inlineStr">
        <is>
          <t>Redemption Hospital</t>
        </is>
      </c>
      <c r="Q9" t="inlineStr">
        <is>
          <t>B. Kpadeh</t>
        </is>
      </c>
    </row>
    <row r="10">
      <c r="A10" t="inlineStr">
        <is>
          <t>RD-2026-00007</t>
        </is>
      </c>
      <c r="B10" s="32" t="n">
        <v>46042</v>
      </c>
      <c r="C10" s="33">
        <f>MONTH(B10)</f>
        <v>1</v>
      </c>
      <c r="D10" t="inlineStr">
        <is>
          <t>Montserrado</t>
        </is>
      </c>
      <c r="E10" t="inlineStr">
        <is>
          <t>West Point - Urban Background</t>
        </is>
      </c>
      <c r="F10" t="inlineStr">
        <is>
          <t>Urban Background</t>
        </is>
      </c>
      <c r="G10" t="inlineStr">
        <is>
          <t>Ambient Radiation</t>
        </is>
      </c>
      <c r="H10" t="inlineStr">
        <is>
          <t>Gamma Dose Rate</t>
        </is>
      </c>
      <c r="I10" t="n">
        <v>0.12</v>
      </c>
      <c r="J10" t="inlineStr">
        <is>
          <t>uSv/h</t>
        </is>
      </c>
      <c r="K10" t="n">
        <v>0</v>
      </c>
      <c r="L10" t="n">
        <v>0.3</v>
      </c>
      <c r="M10" t="str">
        <f>IF(AND(I10&gt;=K10,I10&lt;=L10),"Yes","No")</f>
        <v>Yes</v>
      </c>
      <c r="N10" s="34">
        <f>IF(L10=0,"",I10/L10)</f>
        <v>0.4</v>
      </c>
      <c r="O10" s="33" t="n">
        <v>0</v>
      </c>
      <c r="P10" t="inlineStr">
        <is>
          <t>JFK Memorial Hospital</t>
        </is>
      </c>
      <c r="Q10" t="inlineStr">
        <is>
          <t>J. Nyeman</t>
        </is>
      </c>
    </row>
    <row r="11">
      <c r="A11" t="inlineStr">
        <is>
          <t>WQ-2026-00008</t>
        </is>
      </c>
      <c r="B11" s="32" t="n">
        <v>46028</v>
      </c>
      <c r="C11" s="33">
        <f>MONTH(B11)</f>
        <v>1</v>
      </c>
      <c r="D11" t="inlineStr">
        <is>
          <t>Grand Bassa</t>
        </is>
      </c>
      <c r="E11" t="inlineStr">
        <is>
          <t>St. John River - Community Borehole</t>
        </is>
      </c>
      <c r="F11" t="inlineStr">
        <is>
          <t>Community Borehole</t>
        </is>
      </c>
      <c r="G11" t="inlineStr">
        <is>
          <t>Water</t>
        </is>
      </c>
      <c r="H11" t="inlineStr">
        <is>
          <t>Arsenic</t>
        </is>
      </c>
      <c r="I11" t="n">
        <v>0.0042</v>
      </c>
      <c r="J11" t="inlineStr">
        <is>
          <t>mg/L</t>
        </is>
      </c>
      <c r="K11" t="n">
        <v>0</v>
      </c>
      <c r="L11" t="n">
        <v>0.01</v>
      </c>
      <c r="M11" t="str">
        <f>IF(AND(I11&gt;=K11,I11&lt;=L11),"Yes","No")</f>
        <v>Yes</v>
      </c>
      <c r="N11" s="34">
        <f>IF(L11=0,"",I11/L11)</f>
        <v>0.42</v>
      </c>
      <c r="O11" s="33" t="n">
        <v>350</v>
      </c>
      <c r="P11" t="inlineStr">
        <is>
          <t>Buchanan Government Hospital</t>
        </is>
      </c>
      <c r="Q11" t="inlineStr">
        <is>
          <t>F. Gbato</t>
        </is>
      </c>
    </row>
    <row r="12">
      <c r="A12" t="inlineStr">
        <is>
          <t>WQ-2026-00009</t>
        </is>
      </c>
      <c r="B12" s="32" t="n">
        <v>46032</v>
      </c>
      <c r="C12" s="33">
        <f>MONTH(B12)</f>
        <v>1</v>
      </c>
      <c r="D12" t="inlineStr">
        <is>
          <t>Sinoe</t>
        </is>
      </c>
      <c r="E12" t="inlineStr">
        <is>
          <t>Butaw - School Water Point</t>
        </is>
      </c>
      <c r="F12" t="inlineStr">
        <is>
          <t>School Water Point</t>
        </is>
      </c>
      <c r="G12" t="inlineStr">
        <is>
          <t>Water</t>
        </is>
      </c>
      <c r="H12" t="inlineStr">
        <is>
          <t>Lead</t>
        </is>
      </c>
      <c r="I12" t="n">
        <v>0.0048</v>
      </c>
      <c r="J12" t="inlineStr">
        <is>
          <t>mg/L</t>
        </is>
      </c>
      <c r="K12" t="n">
        <v>0</v>
      </c>
      <c r="L12" t="n">
        <v>0.01</v>
      </c>
      <c r="M12" t="str">
        <f>IF(AND(I12&gt;=K12,I12&lt;=L12),"Yes","No")</f>
        <v>Yes</v>
      </c>
      <c r="N12" s="34">
        <f>IF(L12=0,"",I12/L12)</f>
        <v>0.48</v>
      </c>
      <c r="O12" s="33" t="n">
        <v>4200</v>
      </c>
      <c r="P12" t="inlineStr">
        <is>
          <t>F.J. Grante Hospital</t>
        </is>
      </c>
      <c r="Q12" t="inlineStr">
        <is>
          <t>A. Kollie</t>
        </is>
      </c>
    </row>
    <row r="13">
      <c r="A13" t="inlineStr">
        <is>
          <t>WQ-2026-00010</t>
        </is>
      </c>
      <c r="B13" s="32" t="n">
        <v>46047</v>
      </c>
      <c r="C13" s="33">
        <f>MONTH(B13)</f>
        <v>1</v>
      </c>
      <c r="D13" t="inlineStr">
        <is>
          <t>Grand Bassa</t>
        </is>
      </c>
      <c r="E13" t="inlineStr">
        <is>
          <t>Buchanan - School Water Point</t>
        </is>
      </c>
      <c r="F13" t="inlineStr">
        <is>
          <t>School Water Point</t>
        </is>
      </c>
      <c r="G13" t="inlineStr">
        <is>
          <t>Water</t>
        </is>
      </c>
      <c r="H13" t="inlineStr">
        <is>
          <t>Lead</t>
        </is>
      </c>
      <c r="I13" t="n">
        <v>0.0003</v>
      </c>
      <c r="J13" t="inlineStr">
        <is>
          <t>mg/L</t>
        </is>
      </c>
      <c r="K13" t="n">
        <v>0</v>
      </c>
      <c r="L13" t="n">
        <v>0.01</v>
      </c>
      <c r="M13" t="str">
        <f>IF(AND(I13&gt;=K13,I13&lt;=L13),"Yes","No")</f>
        <v>Yes</v>
      </c>
      <c r="N13" s="34">
        <f>IF(L13=0,"",I13/L13)</f>
        <v>0.03</v>
      </c>
      <c r="O13" s="33" t="n">
        <v>500</v>
      </c>
      <c r="P13" t="inlineStr">
        <is>
          <t>Buchanan Government Hospital</t>
        </is>
      </c>
      <c r="Q13" t="inlineStr">
        <is>
          <t>T. Mulbah</t>
        </is>
      </c>
    </row>
    <row r="14">
      <c r="A14" t="inlineStr">
        <is>
          <t>WQ-2026-00011</t>
        </is>
      </c>
      <c r="B14" s="32" t="n">
        <v>46033</v>
      </c>
      <c r="C14" s="33">
        <f>MONTH(B14)</f>
        <v>1</v>
      </c>
      <c r="D14" t="inlineStr">
        <is>
          <t>Nimba</t>
        </is>
      </c>
      <c r="E14" t="inlineStr">
        <is>
          <t>Yekepa - School Water Point</t>
        </is>
      </c>
      <c r="F14" t="inlineStr">
        <is>
          <t>School Water Point</t>
        </is>
      </c>
      <c r="G14" t="inlineStr">
        <is>
          <t>Water</t>
        </is>
      </c>
      <c r="H14" t="inlineStr">
        <is>
          <t>Manganese</t>
        </is>
      </c>
      <c r="I14" t="n">
        <v>0.19</v>
      </c>
      <c r="J14" t="inlineStr">
        <is>
          <t>mg/L</t>
        </is>
      </c>
      <c r="K14" t="n">
        <v>0</v>
      </c>
      <c r="L14" t="n">
        <v>0.4</v>
      </c>
      <c r="M14" t="str">
        <f>IF(AND(I14&gt;=K14,I14&lt;=L14),"Yes","No")</f>
        <v>Yes</v>
      </c>
      <c r="N14" s="34">
        <f>IF(L14=0,"",I14/L14)</f>
        <v>0.475</v>
      </c>
      <c r="O14" s="33" t="n">
        <v>900</v>
      </c>
      <c r="P14" t="inlineStr">
        <is>
          <t>Ganta United Methodist Hospital</t>
        </is>
      </c>
      <c r="Q14" t="inlineStr">
        <is>
          <t>P. Wleh</t>
        </is>
      </c>
    </row>
    <row r="15">
      <c r="A15" t="inlineStr">
        <is>
          <t>WQ-2026-00012</t>
        </is>
      </c>
      <c r="B15" s="32" t="n">
        <v>46046</v>
      </c>
      <c r="C15" s="33">
        <f>MONTH(B15)</f>
        <v>1</v>
      </c>
      <c r="D15" t="inlineStr">
        <is>
          <t>Maryland</t>
        </is>
      </c>
      <c r="E15" t="inlineStr">
        <is>
          <t>Pleebo - Community Borehole</t>
        </is>
      </c>
      <c r="F15" t="inlineStr">
        <is>
          <t>Community Borehole</t>
        </is>
      </c>
      <c r="G15" t="inlineStr">
        <is>
          <t>Water</t>
        </is>
      </c>
      <c r="H15" t="inlineStr">
        <is>
          <t>Turbidity</t>
        </is>
      </c>
      <c r="I15" t="n">
        <v>12</v>
      </c>
      <c r="J15" t="inlineStr">
        <is>
          <t>NTU</t>
        </is>
      </c>
      <c r="K15" t="n">
        <v>0</v>
      </c>
      <c r="L15" t="n">
        <v>5</v>
      </c>
      <c r="M15" t="str">
        <f>IF(AND(I15&gt;=K15,I15&lt;=L15),"Yes","No")</f>
        <v>No</v>
      </c>
      <c r="N15" s="34">
        <f>IF(L15=0,"",I15/L15)</f>
        <v>2.4</v>
      </c>
      <c r="O15" s="33" t="n">
        <v>4200</v>
      </c>
      <c r="P15" t="inlineStr">
        <is>
          <t>Harper Hospital</t>
        </is>
      </c>
      <c r="Q15" t="inlineStr">
        <is>
          <t>J. Nyeman</t>
        </is>
      </c>
    </row>
    <row r="16">
      <c r="A16" t="inlineStr">
        <is>
          <t>WQ-2026-00013</t>
        </is>
      </c>
      <c r="B16" s="32" t="n">
        <v>46037</v>
      </c>
      <c r="C16" s="33">
        <f>MONTH(B16)</f>
        <v>1</v>
      </c>
      <c r="D16" t="inlineStr">
        <is>
          <t>Bomi</t>
        </is>
      </c>
      <c r="E16" t="inlineStr">
        <is>
          <t>Suehn-Mecca - Health Facility Supply</t>
        </is>
      </c>
      <c r="F16" t="inlineStr">
        <is>
          <t>Health Facility Supply</t>
        </is>
      </c>
      <c r="G16" t="inlineStr">
        <is>
          <t>Water</t>
        </is>
      </c>
      <c r="H16" t="inlineStr">
        <is>
          <t>Total Coliform</t>
        </is>
      </c>
      <c r="I16" t="n">
        <v>0</v>
      </c>
      <c r="J16" t="inlineStr">
        <is>
          <t>CFU/100 mL</t>
        </is>
      </c>
      <c r="K16" t="n">
        <v>0</v>
      </c>
      <c r="L16" t="n">
        <v>0</v>
      </c>
      <c r="M16" t="str">
        <f>IF(AND(I16&gt;=K16,I16&lt;=L16),"Yes","No")</f>
        <v>Yes</v>
      </c>
      <c r="N16" s="34">
        <f>IF(L16=0,"",I16/L16)</f>
        <v/>
      </c>
      <c r="O16" s="33" t="n">
        <v>1200</v>
      </c>
      <c r="P16" t="inlineStr">
        <is>
          <t>Bomi County Health Center</t>
        </is>
      </c>
      <c r="Q16" t="inlineStr">
        <is>
          <t>E. Sebo</t>
        </is>
      </c>
    </row>
    <row r="17">
      <c r="A17" t="inlineStr">
        <is>
          <t>AQ-2026-00014</t>
        </is>
      </c>
      <c r="B17" s="32" t="n">
        <v>46040</v>
      </c>
      <c r="C17" s="33">
        <f>MONTH(B17)</f>
        <v>1</v>
      </c>
      <c r="D17" t="inlineStr">
        <is>
          <t>Montserrado</t>
        </is>
      </c>
      <c r="E17" t="inlineStr">
        <is>
          <t>Brewerville - Dumpsite Perimeter</t>
        </is>
      </c>
      <c r="F17" t="inlineStr">
        <is>
          <t>Dumpsite Perimeter</t>
        </is>
      </c>
      <c r="G17" t="inlineStr">
        <is>
          <t>Air</t>
        </is>
      </c>
      <c r="H17" t="inlineStr">
        <is>
          <t>PM10</t>
        </is>
      </c>
      <c r="I17" t="n">
        <v>11.6</v>
      </c>
      <c r="J17" t="inlineStr">
        <is>
          <t>ug/m3</t>
        </is>
      </c>
      <c r="K17" t="n">
        <v>0</v>
      </c>
      <c r="L17" t="n">
        <v>50</v>
      </c>
      <c r="M17" t="str">
        <f>IF(AND(I17&gt;=K17,I17&lt;=L17),"Yes","No")</f>
        <v>Yes</v>
      </c>
      <c r="N17" s="34">
        <f>IF(L17=0,"",I17/L17)</f>
        <v>0.232</v>
      </c>
      <c r="O17" s="33" t="n">
        <v>200</v>
      </c>
      <c r="P17" t="inlineStr">
        <is>
          <t>JFK Memorial Hospital</t>
        </is>
      </c>
      <c r="Q17" t="inlineStr">
        <is>
          <t>P. Wleh</t>
        </is>
      </c>
    </row>
    <row r="18">
      <c r="A18" t="inlineStr">
        <is>
          <t>WQ-2026-00015</t>
        </is>
      </c>
      <c r="B18" s="32" t="n">
        <v>46047</v>
      </c>
      <c r="C18" s="33">
        <f>MONTH(B18)</f>
        <v>1</v>
      </c>
      <c r="D18" t="inlineStr">
        <is>
          <t>Maryland</t>
        </is>
      </c>
      <c r="E18" t="inlineStr">
        <is>
          <t>Pleebo - Public Tap Stand</t>
        </is>
      </c>
      <c r="F18" t="inlineStr">
        <is>
          <t>Public Tap Stand</t>
        </is>
      </c>
      <c r="G18" t="inlineStr">
        <is>
          <t>Water</t>
        </is>
      </c>
      <c r="H18" t="inlineStr">
        <is>
          <t>Turbidity</t>
        </is>
      </c>
      <c r="I18" t="n">
        <v>2.7</v>
      </c>
      <c r="J18" t="inlineStr">
        <is>
          <t>NTU</t>
        </is>
      </c>
      <c r="K18" t="n">
        <v>0</v>
      </c>
      <c r="L18" t="n">
        <v>5</v>
      </c>
      <c r="M18" t="str">
        <f>IF(AND(I18&gt;=K18,I18&lt;=L18),"Yes","No")</f>
        <v>Yes</v>
      </c>
      <c r="N18" s="34">
        <f>IF(L18=0,"",I18/L18)</f>
        <v>0.54</v>
      </c>
      <c r="O18" s="33" t="n">
        <v>350</v>
      </c>
      <c r="P18" t="inlineStr">
        <is>
          <t>Pleebo Health Center</t>
        </is>
      </c>
      <c r="Q18" t="inlineStr">
        <is>
          <t>B. Kpadeh</t>
        </is>
      </c>
    </row>
    <row r="19">
      <c r="A19" t="inlineStr">
        <is>
          <t>RD-2026-00016</t>
        </is>
      </c>
      <c r="B19" s="32" t="n">
        <v>46023</v>
      </c>
      <c r="C19" s="33">
        <f>MONTH(B19)</f>
        <v>1</v>
      </c>
      <c r="D19" t="inlineStr">
        <is>
          <t>Nimba</t>
        </is>
      </c>
      <c r="E19" t="inlineStr">
        <is>
          <t>Ganta - Urban Background</t>
        </is>
      </c>
      <c r="F19" t="inlineStr">
        <is>
          <t>Urban Background</t>
        </is>
      </c>
      <c r="G19" t="inlineStr">
        <is>
          <t>Ambient Radiation</t>
        </is>
      </c>
      <c r="H19" t="inlineStr">
        <is>
          <t>Gamma Dose Rate</t>
        </is>
      </c>
      <c r="I19" t="n">
        <v>0.24</v>
      </c>
      <c r="J19" t="inlineStr">
        <is>
          <t>uSv/h</t>
        </is>
      </c>
      <c r="K19" t="n">
        <v>0</v>
      </c>
      <c r="L19" t="n">
        <v>0.3</v>
      </c>
      <c r="M19" t="str">
        <f>IF(AND(I19&gt;=K19,I19&lt;=L19),"Yes","No")</f>
        <v>Yes</v>
      </c>
      <c r="N19" s="34">
        <f>IF(L19=0,"",I19/L19)</f>
        <v>0.8</v>
      </c>
      <c r="O19" s="33" t="n">
        <v>0</v>
      </c>
      <c r="P19" t="inlineStr">
        <is>
          <t>Saclepea Health Center</t>
        </is>
      </c>
      <c r="Q19" t="inlineStr">
        <is>
          <t>J. Nyeman</t>
        </is>
      </c>
    </row>
    <row r="20">
      <c r="A20" t="inlineStr">
        <is>
          <t>AQ-2026-00017</t>
        </is>
      </c>
      <c r="B20" s="32" t="n">
        <v>46023</v>
      </c>
      <c r="C20" s="33">
        <f>MONTH(B20)</f>
        <v>1</v>
      </c>
      <c r="D20" t="inlineStr">
        <is>
          <t>Sinoe</t>
        </is>
      </c>
      <c r="E20" t="inlineStr">
        <is>
          <t>Butaw - Industrial Perimeter</t>
        </is>
      </c>
      <c r="F20" t="inlineStr">
        <is>
          <t>Industrial Perimeter</t>
        </is>
      </c>
      <c r="G20" t="inlineStr">
        <is>
          <t>Air</t>
        </is>
      </c>
      <c r="H20" t="inlineStr">
        <is>
          <t>PM10</t>
        </is>
      </c>
      <c r="I20" t="n">
        <v>28.3</v>
      </c>
      <c r="J20" t="inlineStr">
        <is>
          <t>ug/m3</t>
        </is>
      </c>
      <c r="K20" t="n">
        <v>0</v>
      </c>
      <c r="L20" t="n">
        <v>50</v>
      </c>
      <c r="M20" t="str">
        <f>IF(AND(I20&gt;=K20,I20&lt;=L20),"Yes","No")</f>
        <v>Yes</v>
      </c>
      <c r="N20" s="34">
        <f>IF(L20=0,"",I20/L20)</f>
        <v>0.566</v>
      </c>
      <c r="O20" s="33" t="n">
        <v>3500</v>
      </c>
      <c r="P20" t="inlineStr">
        <is>
          <t>F.J. Grante Hospital</t>
        </is>
      </c>
      <c r="Q20" t="inlineStr">
        <is>
          <t>J. Nyeman</t>
        </is>
      </c>
    </row>
    <row r="21">
      <c r="A21" t="inlineStr">
        <is>
          <t>WQ-2026-00018</t>
        </is>
      </c>
      <c r="B21" s="32" t="n">
        <v>46025</v>
      </c>
      <c r="C21" s="33">
        <f>MONTH(B21)</f>
        <v>1</v>
      </c>
      <c r="D21" t="inlineStr">
        <is>
          <t>Montserrado</t>
        </is>
      </c>
      <c r="E21" t="inlineStr">
        <is>
          <t>West Point - School Water Point</t>
        </is>
      </c>
      <c r="F21" t="inlineStr">
        <is>
          <t>School Water Point</t>
        </is>
      </c>
      <c r="G21" t="inlineStr">
        <is>
          <t>Water</t>
        </is>
      </c>
      <c r="H21" t="inlineStr">
        <is>
          <t>Iron</t>
        </is>
      </c>
      <c r="I21" t="n">
        <v>0.16</v>
      </c>
      <c r="J21" t="inlineStr">
        <is>
          <t>mg/L</t>
        </is>
      </c>
      <c r="K21" t="n">
        <v>0</v>
      </c>
      <c r="L21" t="n">
        <v>0.3</v>
      </c>
      <c r="M21" t="str">
        <f>IF(AND(I21&gt;=K21,I21&lt;=L21),"Yes","No")</f>
        <v>Yes</v>
      </c>
      <c r="N21" s="34">
        <f>IF(L21=0,"",I21/L21)</f>
        <v>0.5333333333</v>
      </c>
      <c r="O21" s="33" t="n">
        <v>240</v>
      </c>
      <c r="P21" t="inlineStr">
        <is>
          <t>JFK Memorial Hospital</t>
        </is>
      </c>
      <c r="Q21" t="inlineStr">
        <is>
          <t>A. Kollie</t>
        </is>
      </c>
    </row>
    <row r="22">
      <c r="A22" t="inlineStr">
        <is>
          <t>RD-2026-00019</t>
        </is>
      </c>
      <c r="B22" s="32" t="n">
        <v>46046</v>
      </c>
      <c r="C22" s="33">
        <f>MONTH(B22)</f>
        <v>1</v>
      </c>
      <c r="D22" t="inlineStr">
        <is>
          <t>Grand Gedeh</t>
        </is>
      </c>
      <c r="E22" t="inlineStr">
        <is>
          <t>Zwedru - Urban Background</t>
        </is>
      </c>
      <c r="F22" t="inlineStr">
        <is>
          <t>Urban Background</t>
        </is>
      </c>
      <c r="G22" t="inlineStr">
        <is>
          <t>Ambient Radiation</t>
        </is>
      </c>
      <c r="H22" t="inlineStr">
        <is>
          <t>Gamma Dose Rate</t>
        </is>
      </c>
      <c r="I22" t="n">
        <v>0.04</v>
      </c>
      <c r="J22" t="inlineStr">
        <is>
          <t>uSv/h</t>
        </is>
      </c>
      <c r="K22" t="n">
        <v>0</v>
      </c>
      <c r="L22" t="n">
        <v>0.3</v>
      </c>
      <c r="M22" t="str">
        <f>IF(AND(I22&gt;=K22,I22&lt;=L22),"Yes","No")</f>
        <v>Yes</v>
      </c>
      <c r="N22" s="34">
        <f>IF(L22=0,"",I22/L22)</f>
        <v>0.1333333333</v>
      </c>
      <c r="O22" s="33" t="n">
        <v>0</v>
      </c>
      <c r="P22" t="inlineStr">
        <is>
          <t>Zwedru Health Center</t>
        </is>
      </c>
      <c r="Q22" t="inlineStr">
        <is>
          <t>B. Kpadeh</t>
        </is>
      </c>
    </row>
    <row r="23">
      <c r="A23" t="inlineStr">
        <is>
          <t>WQ-2026-00020</t>
        </is>
      </c>
      <c r="B23" s="32" t="n">
        <v>46046</v>
      </c>
      <c r="C23" s="33">
        <f>MONTH(B23)</f>
        <v>1</v>
      </c>
      <c r="D23" t="inlineStr">
        <is>
          <t>Montserrado</t>
        </is>
      </c>
      <c r="E23" t="inlineStr">
        <is>
          <t>Johnsonville - Hand-Dug Well</t>
        </is>
      </c>
      <c r="F23" t="inlineStr">
        <is>
          <t>Hand-Dug Well</t>
        </is>
      </c>
      <c r="G23" t="inlineStr">
        <is>
          <t>Water</t>
        </is>
      </c>
      <c r="H23" t="inlineStr">
        <is>
          <t>Lead</t>
        </is>
      </c>
      <c r="I23" t="n">
        <v>0.0056</v>
      </c>
      <c r="J23" t="inlineStr">
        <is>
          <t>mg/L</t>
        </is>
      </c>
      <c r="K23" t="n">
        <v>0</v>
      </c>
      <c r="L23" t="n">
        <v>0.01</v>
      </c>
      <c r="M23" t="str">
        <f>IF(AND(I23&gt;=K23,I23&lt;=L23),"Yes","No")</f>
        <v>Yes</v>
      </c>
      <c r="N23" s="34">
        <f>IF(L23=0,"",I23/L23)</f>
        <v>0.56</v>
      </c>
      <c r="O23" s="33" t="n">
        <v>2500</v>
      </c>
      <c r="P23" t="inlineStr">
        <is>
          <t>JFK Memorial Hospital</t>
        </is>
      </c>
      <c r="Q23" t="inlineStr">
        <is>
          <t>T. Mulbah</t>
        </is>
      </c>
    </row>
    <row r="24">
      <c r="A24" t="inlineStr">
        <is>
          <t>AQ-2026-00021</t>
        </is>
      </c>
      <c r="B24" s="32" t="n">
        <v>46028</v>
      </c>
      <c r="C24" s="33">
        <f>MONTH(B24)</f>
        <v>1</v>
      </c>
      <c r="D24" t="inlineStr">
        <is>
          <t>Nimba</t>
        </is>
      </c>
      <c r="E24" t="inlineStr">
        <is>
          <t>Ganta - Dumpsite Perimeter</t>
        </is>
      </c>
      <c r="F24" t="inlineStr">
        <is>
          <t>Dumpsite Perimeter</t>
        </is>
      </c>
      <c r="G24" t="inlineStr">
        <is>
          <t>Air</t>
        </is>
      </c>
      <c r="H24" t="inlineStr">
        <is>
          <t>PM2.5</t>
        </is>
      </c>
      <c r="I24" t="n">
        <v>13.6</v>
      </c>
      <c r="J24" t="inlineStr">
        <is>
          <t>ug/m3</t>
        </is>
      </c>
      <c r="K24" t="n">
        <v>0</v>
      </c>
      <c r="L24" t="n">
        <v>25</v>
      </c>
      <c r="M24" t="str">
        <f>IF(AND(I24&gt;=K24,I24&lt;=L24),"Yes","No")</f>
        <v>Yes</v>
      </c>
      <c r="N24" s="34">
        <f>IF(L24=0,"",I24/L24)</f>
        <v>0.544</v>
      </c>
      <c r="O24" s="33" t="n">
        <v>3500</v>
      </c>
      <c r="P24" t="inlineStr">
        <is>
          <t>Ganta United Methodist Hospital</t>
        </is>
      </c>
      <c r="Q24" t="inlineStr">
        <is>
          <t>F. Gbato</t>
        </is>
      </c>
    </row>
    <row r="25">
      <c r="A25" t="inlineStr">
        <is>
          <t>WQ-2026-00022</t>
        </is>
      </c>
      <c r="B25" s="32" t="n">
        <v>46036</v>
      </c>
      <c r="C25" s="33">
        <f>MONTH(B25)</f>
        <v>1</v>
      </c>
      <c r="D25" t="inlineStr">
        <is>
          <t>Nimba</t>
        </is>
      </c>
      <c r="E25" t="inlineStr">
        <is>
          <t>Saclepea - Public Tap Stand</t>
        </is>
      </c>
      <c r="F25" t="inlineStr">
        <is>
          <t>Public Tap Stand</t>
        </is>
      </c>
      <c r="G25" t="inlineStr">
        <is>
          <t>Water</t>
        </is>
      </c>
      <c r="H25" t="inlineStr">
        <is>
          <t>Iron</t>
        </is>
      </c>
      <c r="I25" t="n">
        <v>0.13</v>
      </c>
      <c r="J25" t="inlineStr">
        <is>
          <t>mg/L</t>
        </is>
      </c>
      <c r="K25" t="n">
        <v>0</v>
      </c>
      <c r="L25" t="n">
        <v>0.3</v>
      </c>
      <c r="M25" t="str">
        <f>IF(AND(I25&gt;=K25,I25&lt;=L25),"Yes","No")</f>
        <v>Yes</v>
      </c>
      <c r="N25" s="34">
        <f>IF(L25=0,"",I25/L25)</f>
        <v>0.4333333333</v>
      </c>
      <c r="O25" s="33" t="n">
        <v>2500</v>
      </c>
      <c r="P25" t="inlineStr">
        <is>
          <t>Tappita Referral Hospital</t>
        </is>
      </c>
      <c r="Q25" t="inlineStr">
        <is>
          <t>T. Mulbah</t>
        </is>
      </c>
    </row>
    <row r="26">
      <c r="A26" t="inlineStr">
        <is>
          <t>WQ-2026-00023</t>
        </is>
      </c>
      <c r="B26" s="32" t="n">
        <v>46031</v>
      </c>
      <c r="C26" s="33">
        <f>MONTH(B26)</f>
        <v>1</v>
      </c>
      <c r="D26" t="inlineStr">
        <is>
          <t>Bong</t>
        </is>
      </c>
      <c r="E26" t="inlineStr">
        <is>
          <t>Totota - Hand-Dug Well</t>
        </is>
      </c>
      <c r="F26" t="inlineStr">
        <is>
          <t>Hand-Dug Well</t>
        </is>
      </c>
      <c r="G26" t="inlineStr">
        <is>
          <t>Water</t>
        </is>
      </c>
      <c r="H26" t="inlineStr">
        <is>
          <t>Total Coliform</t>
        </is>
      </c>
      <c r="I26" t="n">
        <v>0</v>
      </c>
      <c r="J26" t="inlineStr">
        <is>
          <t>CFU/100 mL</t>
        </is>
      </c>
      <c r="K26" t="n">
        <v>0</v>
      </c>
      <c r="L26" t="n">
        <v>0</v>
      </c>
      <c r="M26" t="str">
        <f>IF(AND(I26&gt;=K26,I26&lt;=L26),"Yes","No")</f>
        <v>Yes</v>
      </c>
      <c r="N26" s="34">
        <f>IF(L26=0,"",I26/L26)</f>
        <v/>
      </c>
      <c r="O26" s="33" t="n">
        <v>120</v>
      </c>
      <c r="P26" t="inlineStr">
        <is>
          <t>Phebe Hospital</t>
        </is>
      </c>
      <c r="Q26" t="inlineStr">
        <is>
          <t>H. Zolia</t>
        </is>
      </c>
    </row>
    <row r="27">
      <c r="A27" t="inlineStr">
        <is>
          <t>AQ-2026-00024</t>
        </is>
      </c>
      <c r="B27" s="32" t="n">
        <v>46032</v>
      </c>
      <c r="C27" s="33">
        <f>MONTH(B27)</f>
        <v>1</v>
      </c>
      <c r="D27" t="inlineStr">
        <is>
          <t>Montserrado</t>
        </is>
      </c>
      <c r="E27" t="inlineStr">
        <is>
          <t>Gardnersville - Market Area</t>
        </is>
      </c>
      <c r="F27" t="inlineStr">
        <is>
          <t>Market Area</t>
        </is>
      </c>
      <c r="G27" t="inlineStr">
        <is>
          <t>Air</t>
        </is>
      </c>
      <c r="H27" t="inlineStr">
        <is>
          <t>PM2.5</t>
        </is>
      </c>
      <c r="I27" t="n">
        <v>19</v>
      </c>
      <c r="J27" t="inlineStr">
        <is>
          <t>ug/m3</t>
        </is>
      </c>
      <c r="K27" t="n">
        <v>0</v>
      </c>
      <c r="L27" t="n">
        <v>25</v>
      </c>
      <c r="M27" t="str">
        <f>IF(AND(I27&gt;=K27,I27&lt;=L27),"Yes","No")</f>
        <v>Yes</v>
      </c>
      <c r="N27" s="34">
        <f>IF(L27=0,"",I27/L27)</f>
        <v>0.76</v>
      </c>
      <c r="O27" s="33" t="n">
        <v>200</v>
      </c>
      <c r="P27" t="inlineStr">
        <is>
          <t>Benson Hospital</t>
        </is>
      </c>
      <c r="Q27" t="inlineStr">
        <is>
          <t>J. Nyeman</t>
        </is>
      </c>
    </row>
    <row r="28">
      <c r="A28" t="inlineStr">
        <is>
          <t>SL-2026-00025</t>
        </is>
      </c>
      <c r="B28" s="32" t="n">
        <v>46024</v>
      </c>
      <c r="C28" s="33">
        <f>MONTH(B28)</f>
        <v>1</v>
      </c>
      <c r="D28" t="inlineStr">
        <is>
          <t>Bong</t>
        </is>
      </c>
      <c r="E28" t="inlineStr">
        <is>
          <t>Suakoko - Playground</t>
        </is>
      </c>
      <c r="F28" t="inlineStr">
        <is>
          <t>Playground</t>
        </is>
      </c>
      <c r="G28" t="inlineStr">
        <is>
          <t>Soil</t>
        </is>
      </c>
      <c r="H28" t="inlineStr">
        <is>
          <t>Lead</t>
        </is>
      </c>
      <c r="I28" t="n">
        <v>71</v>
      </c>
      <c r="J28" t="inlineStr">
        <is>
          <t>mg/kg</t>
        </is>
      </c>
      <c r="K28" t="n">
        <v>0</v>
      </c>
      <c r="L28" t="n">
        <v>100</v>
      </c>
      <c r="M28" t="str">
        <f>IF(AND(I28&gt;=K28,I28&lt;=L28),"Yes","No")</f>
        <v>Yes</v>
      </c>
      <c r="N28" s="34">
        <f>IF(L28=0,"",I28/L28)</f>
        <v>0.71</v>
      </c>
      <c r="O28" s="33" t="n">
        <v>200</v>
      </c>
      <c r="P28" t="inlineStr">
        <is>
          <t>Phebe Hospital</t>
        </is>
      </c>
      <c r="Q28" t="inlineStr">
        <is>
          <t>E. Sebo</t>
        </is>
      </c>
    </row>
    <row r="29">
      <c r="A29" t="inlineStr">
        <is>
          <t>AQ-2026-00026</t>
        </is>
      </c>
      <c r="B29" s="32" t="n">
        <v>46045</v>
      </c>
      <c r="C29" s="33">
        <f>MONTH(B29)</f>
        <v>1</v>
      </c>
      <c r="D29" t="inlineStr">
        <is>
          <t>Margibi</t>
        </is>
      </c>
      <c r="E29" t="inlineStr">
        <is>
          <t>Firestone - Industrial Perimeter</t>
        </is>
      </c>
      <c r="F29" t="inlineStr">
        <is>
          <t>Industrial Perimeter</t>
        </is>
      </c>
      <c r="G29" t="inlineStr">
        <is>
          <t>Air</t>
        </is>
      </c>
      <c r="H29" t="inlineStr">
        <is>
          <t>Sulphur Dioxide (SO2)</t>
        </is>
      </c>
      <c r="I29" t="n">
        <v>18</v>
      </c>
      <c r="J29" t="inlineStr">
        <is>
          <t>ug/m3</t>
        </is>
      </c>
      <c r="K29" t="n">
        <v>0</v>
      </c>
      <c r="L29" t="n">
        <v>125</v>
      </c>
      <c r="M29" t="str">
        <f>IF(AND(I29&gt;=K29,I29&lt;=L29),"Yes","No")</f>
        <v>Yes</v>
      </c>
      <c r="N29" s="34">
        <f>IF(L29=0,"",I29/L29)</f>
        <v>0.144</v>
      </c>
      <c r="O29" s="33" t="n">
        <v>2200</v>
      </c>
      <c r="P29" t="inlineStr">
        <is>
          <t>C.H. Rennie Hospital</t>
        </is>
      </c>
      <c r="Q29" t="inlineStr">
        <is>
          <t>M. Toe</t>
        </is>
      </c>
    </row>
    <row r="30">
      <c r="A30" t="inlineStr">
        <is>
          <t>WQ-2026-00027</t>
        </is>
      </c>
      <c r="B30" s="32" t="n">
        <v>46047</v>
      </c>
      <c r="C30" s="33">
        <f>MONTH(B30)</f>
        <v>1</v>
      </c>
      <c r="D30" t="inlineStr">
        <is>
          <t>Lofa</t>
        </is>
      </c>
      <c r="E30" t="inlineStr">
        <is>
          <t>Foya - River / Stream Intake</t>
        </is>
      </c>
      <c r="F30" t="inlineStr">
        <is>
          <t>River / Stream Intake</t>
        </is>
      </c>
      <c r="G30" t="inlineStr">
        <is>
          <t>Water</t>
        </is>
      </c>
      <c r="H30" t="inlineStr">
        <is>
          <t>Arsenic</t>
        </is>
      </c>
      <c r="I30" t="n">
        <v>0.0045</v>
      </c>
      <c r="J30" t="inlineStr">
        <is>
          <t>mg/L</t>
        </is>
      </c>
      <c r="K30" t="n">
        <v>0</v>
      </c>
      <c r="L30" t="n">
        <v>0.01</v>
      </c>
      <c r="M30" t="str">
        <f>IF(AND(I30&gt;=K30,I30&lt;=L30),"Yes","No")</f>
        <v>Yes</v>
      </c>
      <c r="N30" s="34">
        <f>IF(L30=0,"",I30/L30)</f>
        <v>0.45</v>
      </c>
      <c r="O30" s="33" t="n">
        <v>750</v>
      </c>
      <c r="P30" t="inlineStr">
        <is>
          <t>Zorzor Hospital</t>
        </is>
      </c>
      <c r="Q30" t="inlineStr">
        <is>
          <t>F. Gbato</t>
        </is>
      </c>
    </row>
    <row r="31">
      <c r="A31" t="inlineStr">
        <is>
          <t>AQ-2026-00028</t>
        </is>
      </c>
      <c r="B31" s="32" t="n">
        <v>46043</v>
      </c>
      <c r="C31" s="33">
        <f>MONTH(B31)</f>
        <v>1</v>
      </c>
      <c r="D31" t="inlineStr">
        <is>
          <t>Nimba</t>
        </is>
      </c>
      <c r="E31" t="inlineStr">
        <is>
          <t>Karnplay - Urban Roadside</t>
        </is>
      </c>
      <c r="F31" t="inlineStr">
        <is>
          <t>Urban Roadside</t>
        </is>
      </c>
      <c r="G31" t="inlineStr">
        <is>
          <t>Air</t>
        </is>
      </c>
      <c r="H31" t="inlineStr">
        <is>
          <t>PM10</t>
        </is>
      </c>
      <c r="I31" t="n">
        <v>124.6</v>
      </c>
      <c r="J31" t="inlineStr">
        <is>
          <t>ug/m3</t>
        </is>
      </c>
      <c r="K31" t="n">
        <v>0</v>
      </c>
      <c r="L31" t="n">
        <v>50</v>
      </c>
      <c r="M31" t="str">
        <f>IF(AND(I31&gt;=K31,I31&lt;=L31),"Yes","No")</f>
        <v>No</v>
      </c>
      <c r="N31" s="34">
        <f>IF(L31=0,"",I31/L31)</f>
        <v>2.492</v>
      </c>
      <c r="O31" s="33" t="n">
        <v>1500</v>
      </c>
      <c r="P31" t="inlineStr">
        <is>
          <t>Tappita Referral Hospital</t>
        </is>
      </c>
      <c r="Q31" t="inlineStr">
        <is>
          <t>E. Sebo</t>
        </is>
      </c>
    </row>
    <row r="32">
      <c r="A32" t="inlineStr">
        <is>
          <t>WQ-2026-00029</t>
        </is>
      </c>
      <c r="B32" s="32" t="n">
        <v>46026</v>
      </c>
      <c r="C32" s="33">
        <f>MONTH(B32)</f>
        <v>1</v>
      </c>
      <c r="D32" t="inlineStr">
        <is>
          <t>Grand Cape Mount</t>
        </is>
      </c>
      <c r="E32" t="inlineStr">
        <is>
          <t>Bomi Hills - Public Tap Stand</t>
        </is>
      </c>
      <c r="F32" t="inlineStr">
        <is>
          <t>Public Tap Stand</t>
        </is>
      </c>
      <c r="G32" t="inlineStr">
        <is>
          <t>Water</t>
        </is>
      </c>
      <c r="H32" t="inlineStr">
        <is>
          <t>Arsenic</t>
        </is>
      </c>
      <c r="I32" t="n">
        <v>0.0011</v>
      </c>
      <c r="J32" t="inlineStr">
        <is>
          <t>mg/L</t>
        </is>
      </c>
      <c r="K32" t="n">
        <v>0</v>
      </c>
      <c r="L32" t="n">
        <v>0.01</v>
      </c>
      <c r="M32" t="str">
        <f>IF(AND(I32&gt;=K32,I32&lt;=L32),"Yes","No")</f>
        <v>Yes</v>
      </c>
      <c r="N32" s="34">
        <f>IF(L32=0,"",I32/L32)</f>
        <v>0.11</v>
      </c>
      <c r="O32" s="33" t="n">
        <v>2500</v>
      </c>
      <c r="P32" t="inlineStr">
        <is>
          <t>Sinje Health Center</t>
        </is>
      </c>
      <c r="Q32" t="inlineStr">
        <is>
          <t>M. Toe</t>
        </is>
      </c>
    </row>
    <row r="33">
      <c r="A33" t="inlineStr">
        <is>
          <t>RD-2026-00030</t>
        </is>
      </c>
      <c r="B33" s="32" t="n">
        <v>46047</v>
      </c>
      <c r="C33" s="33">
        <f>MONTH(B33)</f>
        <v>1</v>
      </c>
      <c r="D33" t="inlineStr">
        <is>
          <t>Montserrado</t>
        </is>
      </c>
      <c r="E33" t="inlineStr">
        <is>
          <t>Sinkor - Medical Facility</t>
        </is>
      </c>
      <c r="F33" t="inlineStr">
        <is>
          <t>Medical Facility</t>
        </is>
      </c>
      <c r="G33" t="inlineStr">
        <is>
          <t>Ambient Radiation</t>
        </is>
      </c>
      <c r="H33" t="inlineStr">
        <is>
          <t>Gamma Dose Rate</t>
        </is>
      </c>
      <c r="I33" t="n">
        <v>0.15</v>
      </c>
      <c r="J33" t="inlineStr">
        <is>
          <t>uSv/h</t>
        </is>
      </c>
      <c r="K33" t="n">
        <v>0</v>
      </c>
      <c r="L33" t="n">
        <v>0.3</v>
      </c>
      <c r="M33" t="str">
        <f>IF(AND(I33&gt;=K33,I33&lt;=L33),"Yes","No")</f>
        <v>Yes</v>
      </c>
      <c r="N33" s="34">
        <f>IF(L33=0,"",I33/L33)</f>
        <v>0.5</v>
      </c>
      <c r="O33" s="33" t="n">
        <v>0</v>
      </c>
      <c r="P33" t="inlineStr">
        <is>
          <t>St. Joseph's Catholic Hospital</t>
        </is>
      </c>
      <c r="Q33" t="inlineStr">
        <is>
          <t>E. Sebo</t>
        </is>
      </c>
    </row>
    <row r="34">
      <c r="A34" t="inlineStr">
        <is>
          <t>WQ-2026-00031</t>
        </is>
      </c>
      <c r="B34" s="32" t="n">
        <v>46024</v>
      </c>
      <c r="C34" s="33">
        <f>MONTH(B34)</f>
        <v>1</v>
      </c>
      <c r="D34" t="inlineStr">
        <is>
          <t>Montserrado</t>
        </is>
      </c>
      <c r="E34" t="inlineStr">
        <is>
          <t>Johnsonville - River / Stream Intake</t>
        </is>
      </c>
      <c r="F34" t="inlineStr">
        <is>
          <t>River / Stream Intake</t>
        </is>
      </c>
      <c r="G34" t="inlineStr">
        <is>
          <t>Water</t>
        </is>
      </c>
      <c r="H34" t="inlineStr">
        <is>
          <t>Total Coliform</t>
        </is>
      </c>
      <c r="I34" t="n">
        <v>5</v>
      </c>
      <c r="J34" t="inlineStr">
        <is>
          <t>CFU/100 mL</t>
        </is>
      </c>
      <c r="K34" t="n">
        <v>0</v>
      </c>
      <c r="L34" t="n">
        <v>0</v>
      </c>
      <c r="M34" t="str">
        <f>IF(AND(I34&gt;=K34,I34&lt;=L34),"Yes","No")</f>
        <v>No</v>
      </c>
      <c r="N34" s="34">
        <f>IF(L34=0,"",I34/L34)</f>
        <v/>
      </c>
      <c r="O34" s="33" t="n">
        <v>900</v>
      </c>
      <c r="P34" t="inlineStr">
        <is>
          <t>JFK Memorial Hospital</t>
        </is>
      </c>
      <c r="Q34" t="inlineStr">
        <is>
          <t>S. Dolo</t>
        </is>
      </c>
    </row>
    <row r="35">
      <c r="A35" t="inlineStr">
        <is>
          <t>SL-2026-00032</t>
        </is>
      </c>
      <c r="B35" s="32" t="n">
        <v>46047</v>
      </c>
      <c r="C35" s="33">
        <f>MONTH(B35)</f>
        <v>1</v>
      </c>
      <c r="D35" t="inlineStr">
        <is>
          <t>Bomi</t>
        </is>
      </c>
      <c r="E35" t="inlineStr">
        <is>
          <t>Klay - Farmland</t>
        </is>
      </c>
      <c r="F35" t="inlineStr">
        <is>
          <t>Farmland</t>
        </is>
      </c>
      <c r="G35" t="inlineStr">
        <is>
          <t>Soil</t>
        </is>
      </c>
      <c r="H35" t="inlineStr">
        <is>
          <t>Arsenic</t>
        </is>
      </c>
      <c r="I35" t="n">
        <v>13.3</v>
      </c>
      <c r="J35" t="inlineStr">
        <is>
          <t>mg/kg</t>
        </is>
      </c>
      <c r="K35" t="n">
        <v>0</v>
      </c>
      <c r="L35" t="n">
        <v>20</v>
      </c>
      <c r="M35" t="str">
        <f>IF(AND(I35&gt;=K35,I35&lt;=L35),"Yes","No")</f>
        <v>Yes</v>
      </c>
      <c r="N35" s="34">
        <f>IF(L35=0,"",I35/L35)</f>
        <v>0.665</v>
      </c>
      <c r="O35" s="33" t="n">
        <v>0</v>
      </c>
      <c r="P35" t="inlineStr">
        <is>
          <t>Bomi County Health Center</t>
        </is>
      </c>
      <c r="Q35" t="inlineStr">
        <is>
          <t>A. Kollie</t>
        </is>
      </c>
    </row>
    <row r="36">
      <c r="A36" t="inlineStr">
        <is>
          <t>WQ-2026-00033</t>
        </is>
      </c>
      <c r="B36" s="32" t="n">
        <v>46031</v>
      </c>
      <c r="C36" s="33">
        <f>MONTH(B36)</f>
        <v>1</v>
      </c>
      <c r="D36" t="inlineStr">
        <is>
          <t>Montserrado</t>
        </is>
      </c>
      <c r="E36" t="inlineStr">
        <is>
          <t>Gardnersville - Health Facility Supply</t>
        </is>
      </c>
      <c r="F36" t="inlineStr">
        <is>
          <t>Health Facility Supply</t>
        </is>
      </c>
      <c r="G36" t="inlineStr">
        <is>
          <t>Water</t>
        </is>
      </c>
      <c r="H36" t="inlineStr">
        <is>
          <t>Arsenic</t>
        </is>
      </c>
      <c r="I36" t="n">
        <v>0.0071</v>
      </c>
      <c r="J36" t="inlineStr">
        <is>
          <t>mg/L</t>
        </is>
      </c>
      <c r="K36" t="n">
        <v>0</v>
      </c>
      <c r="L36" t="n">
        <v>0.01</v>
      </c>
      <c r="M36" t="str">
        <f>IF(AND(I36&gt;=K36,I36&lt;=L36),"Yes","No")</f>
        <v>Yes</v>
      </c>
      <c r="N36" s="34">
        <f>IF(L36=0,"",I36/L36)</f>
        <v>0.71</v>
      </c>
      <c r="O36" s="33" t="n">
        <v>1200</v>
      </c>
      <c r="P36" t="inlineStr">
        <is>
          <t>St. Joseph's Catholic Hospital</t>
        </is>
      </c>
      <c r="Q36" t="inlineStr">
        <is>
          <t>F. Gbato</t>
        </is>
      </c>
    </row>
    <row r="37">
      <c r="A37" t="inlineStr">
        <is>
          <t>WQ-2026-00034</t>
        </is>
      </c>
      <c r="B37" s="32" t="n">
        <v>46046</v>
      </c>
      <c r="C37" s="33">
        <f>MONTH(B37)</f>
        <v>1</v>
      </c>
      <c r="D37" t="inlineStr">
        <is>
          <t>Bomi</t>
        </is>
      </c>
      <c r="E37" t="inlineStr">
        <is>
          <t>Klay - Hand-Dug Well</t>
        </is>
      </c>
      <c r="F37" t="inlineStr">
        <is>
          <t>Hand-Dug Well</t>
        </is>
      </c>
      <c r="G37" t="inlineStr">
        <is>
          <t>Water</t>
        </is>
      </c>
      <c r="H37" t="inlineStr">
        <is>
          <t>Manganese</t>
        </is>
      </c>
      <c r="I37" t="n">
        <v>0.18</v>
      </c>
      <c r="J37" t="inlineStr">
        <is>
          <t>mg/L</t>
        </is>
      </c>
      <c r="K37" t="n">
        <v>0</v>
      </c>
      <c r="L37" t="n">
        <v>0.4</v>
      </c>
      <c r="M37" t="str">
        <f>IF(AND(I37&gt;=K37,I37&lt;=L37),"Yes","No")</f>
        <v>Yes</v>
      </c>
      <c r="N37" s="34">
        <f>IF(L37=0,"",I37/L37)</f>
        <v>0.45</v>
      </c>
      <c r="O37" s="33" t="n">
        <v>4200</v>
      </c>
      <c r="P37" t="inlineStr">
        <is>
          <t>Klay Clinic</t>
        </is>
      </c>
      <c r="Q37" t="inlineStr">
        <is>
          <t>P. Wleh</t>
        </is>
      </c>
    </row>
    <row r="38">
      <c r="A38" t="inlineStr">
        <is>
          <t>WQ-2026-00035</t>
        </is>
      </c>
      <c r="B38" s="32" t="n">
        <v>46040</v>
      </c>
      <c r="C38" s="33">
        <f>MONTH(B38)</f>
        <v>1</v>
      </c>
      <c r="D38" t="inlineStr">
        <is>
          <t>Gbarpolu</t>
        </is>
      </c>
      <c r="E38" t="inlineStr">
        <is>
          <t>Bopolu - School Water Point</t>
        </is>
      </c>
      <c r="F38" t="inlineStr">
        <is>
          <t>School Water Point</t>
        </is>
      </c>
      <c r="G38" t="inlineStr">
        <is>
          <t>Water</t>
        </is>
      </c>
      <c r="H38" t="inlineStr">
        <is>
          <t>E. coli</t>
        </is>
      </c>
      <c r="I38" t="n">
        <v>0</v>
      </c>
      <c r="J38" t="inlineStr">
        <is>
          <t>CFU/100 mL</t>
        </is>
      </c>
      <c r="K38" t="n">
        <v>0</v>
      </c>
      <c r="L38" t="n">
        <v>0</v>
      </c>
      <c r="M38" t="str">
        <f>IF(AND(I38&gt;=K38,I38&lt;=L38),"Yes","No")</f>
        <v>Yes</v>
      </c>
      <c r="N38" s="34">
        <f>IF(L38=0,"",I38/L38)</f>
        <v/>
      </c>
      <c r="O38" s="33" t="n">
        <v>350</v>
      </c>
      <c r="P38" t="inlineStr">
        <is>
          <t>Bopolu Health Center</t>
        </is>
      </c>
      <c r="Q38" t="inlineStr">
        <is>
          <t>E. Sebo</t>
        </is>
      </c>
    </row>
    <row r="39">
      <c r="A39" t="inlineStr">
        <is>
          <t>SL-2026-00036</t>
        </is>
      </c>
      <c r="B39" s="32" t="n">
        <v>46029</v>
      </c>
      <c r="C39" s="33">
        <f>MONTH(B39)</f>
        <v>1</v>
      </c>
      <c r="D39" t="inlineStr">
        <is>
          <t>Montserrado</t>
        </is>
      </c>
      <c r="E39" t="inlineStr">
        <is>
          <t>Caldwell - Dumpsite Perimeter</t>
        </is>
      </c>
      <c r="F39" t="inlineStr">
        <is>
          <t>Dumpsite Perimeter</t>
        </is>
      </c>
      <c r="G39" t="inlineStr">
        <is>
          <t>Soil</t>
        </is>
      </c>
      <c r="H39" t="inlineStr">
        <is>
          <t>Mercury</t>
        </is>
      </c>
      <c r="I39" t="n">
        <v>0.7</v>
      </c>
      <c r="J39" t="inlineStr">
        <is>
          <t>mg/kg</t>
        </is>
      </c>
      <c r="K39" t="n">
        <v>0</v>
      </c>
      <c r="L39" t="n">
        <v>1</v>
      </c>
      <c r="M39" t="str">
        <f>IF(AND(I39&gt;=K39,I39&lt;=L39),"Yes","No")</f>
        <v>Yes</v>
      </c>
      <c r="N39" s="34">
        <f>IF(L39=0,"",I39/L39)</f>
        <v>0.7</v>
      </c>
      <c r="O39" s="33" t="n">
        <v>200</v>
      </c>
      <c r="P39" t="inlineStr">
        <is>
          <t>Benson Hospital</t>
        </is>
      </c>
      <c r="Q39" t="inlineStr">
        <is>
          <t>T. Mulbah</t>
        </is>
      </c>
    </row>
    <row r="40">
      <c r="A40" t="inlineStr">
        <is>
          <t>SL-2026-00037</t>
        </is>
      </c>
      <c r="B40" s="32" t="n">
        <v>46049</v>
      </c>
      <c r="C40" s="33">
        <f>MONTH(B40)</f>
        <v>1</v>
      </c>
      <c r="D40" t="inlineStr">
        <is>
          <t>Grand Bassa</t>
        </is>
      </c>
      <c r="E40" t="inlineStr">
        <is>
          <t>Golden Veroleum Palm Oil</t>
        </is>
      </c>
      <c r="F40" t="inlineStr">
        <is>
          <t>Industrial Perimeter</t>
        </is>
      </c>
      <c r="G40" t="inlineStr">
        <is>
          <t>Soil</t>
        </is>
      </c>
      <c r="H40" t="inlineStr">
        <is>
          <t>Mercury</t>
        </is>
      </c>
      <c r="I40" t="n">
        <v>0.7</v>
      </c>
      <c r="J40" t="inlineStr">
        <is>
          <t>mg/kg</t>
        </is>
      </c>
      <c r="K40" t="n">
        <v>0</v>
      </c>
      <c r="L40" t="n">
        <v>1</v>
      </c>
      <c r="M40" t="str">
        <f>IF(AND(I40&gt;=K40,I40&lt;=L40),"Yes","No")</f>
        <v>Yes</v>
      </c>
      <c r="N40" s="34">
        <f>IF(L40=0,"",I40/L40)</f>
        <v>0.7</v>
      </c>
      <c r="O40" s="33" t="n">
        <v>1500</v>
      </c>
      <c r="P40" t="inlineStr">
        <is>
          <t>Edina Health Center</t>
        </is>
      </c>
      <c r="Q40" t="inlineStr">
        <is>
          <t>F. Gbato</t>
        </is>
      </c>
    </row>
    <row r="41">
      <c r="A41" t="inlineStr">
        <is>
          <t>AQ-2026-00038</t>
        </is>
      </c>
      <c r="B41" s="32" t="n">
        <v>46052</v>
      </c>
      <c r="C41" s="33">
        <f>MONTH(B41)</f>
        <v>1</v>
      </c>
      <c r="D41" t="inlineStr">
        <is>
          <t>Nimba</t>
        </is>
      </c>
      <c r="E41" t="inlineStr">
        <is>
          <t>Karnplay - Residential Area</t>
        </is>
      </c>
      <c r="F41" t="inlineStr">
        <is>
          <t>Residential Area</t>
        </is>
      </c>
      <c r="G41" t="inlineStr">
        <is>
          <t>Air</t>
        </is>
      </c>
      <c r="H41" t="inlineStr">
        <is>
          <t>PM2.5</t>
        </is>
      </c>
      <c r="I41" t="n">
        <v>19.7</v>
      </c>
      <c r="J41" t="inlineStr">
        <is>
          <t>ug/m3</t>
        </is>
      </c>
      <c r="K41" t="n">
        <v>0</v>
      </c>
      <c r="L41" t="n">
        <v>25</v>
      </c>
      <c r="M41" t="str">
        <f>IF(AND(I41&gt;=K41,I41&lt;=L41),"Yes","No")</f>
        <v>Yes</v>
      </c>
      <c r="N41" s="34">
        <f>IF(L41=0,"",I41/L41)</f>
        <v>0.788</v>
      </c>
      <c r="O41" s="33" t="n">
        <v>3500</v>
      </c>
      <c r="P41" t="inlineStr">
        <is>
          <t>Saclepea Health Center</t>
        </is>
      </c>
      <c r="Q41" t="inlineStr">
        <is>
          <t>E. Sebo</t>
        </is>
      </c>
    </row>
    <row r="42">
      <c r="A42" t="inlineStr">
        <is>
          <t>AQ-2026-00039</t>
        </is>
      </c>
      <c r="B42" s="32" t="n">
        <v>46030</v>
      </c>
      <c r="C42" s="33">
        <f>MONTH(B42)</f>
        <v>1</v>
      </c>
      <c r="D42" t="inlineStr">
        <is>
          <t>Margibi</t>
        </is>
      </c>
      <c r="E42" t="inlineStr">
        <is>
          <t>Weala - Industrial Perimeter</t>
        </is>
      </c>
      <c r="F42" t="inlineStr">
        <is>
          <t>Industrial Perimeter</t>
        </is>
      </c>
      <c r="G42" t="inlineStr">
        <is>
          <t>Air</t>
        </is>
      </c>
      <c r="H42" t="inlineStr">
        <is>
          <t>PM2.5</t>
        </is>
      </c>
      <c r="I42" t="n">
        <v>58.6</v>
      </c>
      <c r="J42" t="inlineStr">
        <is>
          <t>ug/m3</t>
        </is>
      </c>
      <c r="K42" t="n">
        <v>0</v>
      </c>
      <c r="L42" t="n">
        <v>25</v>
      </c>
      <c r="M42" t="str">
        <f>IF(AND(I42&gt;=K42,I42&lt;=L42),"Yes","No")</f>
        <v>No</v>
      </c>
      <c r="N42" s="34">
        <f>IF(L42=0,"",I42/L42)</f>
        <v>2.344</v>
      </c>
      <c r="O42" s="33" t="n">
        <v>450</v>
      </c>
      <c r="P42" t="inlineStr">
        <is>
          <t>Harbel Health Center</t>
        </is>
      </c>
      <c r="Q42" t="inlineStr">
        <is>
          <t>B. Kpadeh</t>
        </is>
      </c>
    </row>
    <row r="43">
      <c r="A43" t="inlineStr">
        <is>
          <t>SL-2026-00040</t>
        </is>
      </c>
      <c r="B43" s="32" t="n">
        <v>46052</v>
      </c>
      <c r="C43" s="33">
        <f>MONTH(B43)</f>
        <v>1</v>
      </c>
      <c r="D43" t="inlineStr">
        <is>
          <t>Grand Bassa</t>
        </is>
      </c>
      <c r="E43" t="inlineStr">
        <is>
          <t>Nimba Western Range Iron Ore</t>
        </is>
      </c>
      <c r="F43" t="inlineStr">
        <is>
          <t>Industrial Perimeter</t>
        </is>
      </c>
      <c r="G43" t="inlineStr">
        <is>
          <t>Soil</t>
        </is>
      </c>
      <c r="H43" t="inlineStr">
        <is>
          <t>Mercury</t>
        </is>
      </c>
      <c r="I43" t="n">
        <v>0.2</v>
      </c>
      <c r="J43" t="inlineStr">
        <is>
          <t>mg/kg</t>
        </is>
      </c>
      <c r="K43" t="n">
        <v>0</v>
      </c>
      <c r="L43" t="n">
        <v>1</v>
      </c>
      <c r="M43" t="str">
        <f>IF(AND(I43&gt;=K43,I43&lt;=L43),"Yes","No")</f>
        <v>Yes</v>
      </c>
      <c r="N43" s="34">
        <f>IF(L43=0,"",I43/L43)</f>
        <v>0.2</v>
      </c>
      <c r="O43" s="33" t="n">
        <v>0</v>
      </c>
      <c r="P43" t="inlineStr">
        <is>
          <t>Edina Health Center</t>
        </is>
      </c>
      <c r="Q43" t="inlineStr">
        <is>
          <t>T. Mulbah</t>
        </is>
      </c>
    </row>
    <row r="44">
      <c r="A44" t="inlineStr">
        <is>
          <t>WQ-2026-00041</t>
        </is>
      </c>
      <c r="B44" s="32" t="n">
        <v>46050</v>
      </c>
      <c r="C44" s="33">
        <f>MONTH(B44)</f>
        <v>1</v>
      </c>
      <c r="D44" t="inlineStr">
        <is>
          <t>Nimba</t>
        </is>
      </c>
      <c r="E44" t="inlineStr">
        <is>
          <t>Tappita - Health Facility Supply</t>
        </is>
      </c>
      <c r="F44" t="inlineStr">
        <is>
          <t>Health Facility Supply</t>
        </is>
      </c>
      <c r="G44" t="inlineStr">
        <is>
          <t>Water</t>
        </is>
      </c>
      <c r="H44" t="inlineStr">
        <is>
          <t>Lead</t>
        </is>
      </c>
      <c r="I44" t="n">
        <v>0.0075</v>
      </c>
      <c r="J44" t="inlineStr">
        <is>
          <t>mg/L</t>
        </is>
      </c>
      <c r="K44" t="n">
        <v>0</v>
      </c>
      <c r="L44" t="n">
        <v>0.01</v>
      </c>
      <c r="M44" t="str">
        <f>IF(AND(I44&gt;=K44,I44&lt;=L44),"Yes","No")</f>
        <v>Yes</v>
      </c>
      <c r="N44" s="34">
        <f>IF(L44=0,"",I44/L44)</f>
        <v>0.75</v>
      </c>
      <c r="O44" s="33" t="n">
        <v>500</v>
      </c>
      <c r="P44" t="inlineStr">
        <is>
          <t>Saclepea Health Center</t>
        </is>
      </c>
      <c r="Q44" t="inlineStr">
        <is>
          <t>B. Kpadeh</t>
        </is>
      </c>
    </row>
    <row r="45">
      <c r="A45" t="inlineStr">
        <is>
          <t>AQ-2026-00042</t>
        </is>
      </c>
      <c r="B45" s="32" t="n">
        <v>46045</v>
      </c>
      <c r="C45" s="33">
        <f>MONTH(B45)</f>
        <v>1</v>
      </c>
      <c r="D45" t="inlineStr">
        <is>
          <t>Nimba</t>
        </is>
      </c>
      <c r="E45" t="inlineStr">
        <is>
          <t>Tappita - Market Area</t>
        </is>
      </c>
      <c r="F45" t="inlineStr">
        <is>
          <t>Market Area</t>
        </is>
      </c>
      <c r="G45" t="inlineStr">
        <is>
          <t>Air</t>
        </is>
      </c>
      <c r="H45" t="inlineStr">
        <is>
          <t>PM2.5</t>
        </is>
      </c>
      <c r="I45" t="n">
        <v>22.2</v>
      </c>
      <c r="J45" t="inlineStr">
        <is>
          <t>ug/m3</t>
        </is>
      </c>
      <c r="K45" t="n">
        <v>0</v>
      </c>
      <c r="L45" t="n">
        <v>25</v>
      </c>
      <c r="M45" t="str">
        <f>IF(AND(I45&gt;=K45,I45&lt;=L45),"Yes","No")</f>
        <v>Yes</v>
      </c>
      <c r="N45" s="34">
        <f>IF(L45=0,"",I45/L45)</f>
        <v>0.888</v>
      </c>
      <c r="O45" s="33" t="n">
        <v>6000</v>
      </c>
      <c r="P45" t="inlineStr">
        <is>
          <t>Saclepea Health Center</t>
        </is>
      </c>
      <c r="Q45" t="inlineStr">
        <is>
          <t>M. Toe</t>
        </is>
      </c>
    </row>
    <row r="46">
      <c r="A46" t="inlineStr">
        <is>
          <t>AQ-2026-00043</t>
        </is>
      </c>
      <c r="B46" s="32" t="n">
        <v>46023</v>
      </c>
      <c r="C46" s="33">
        <f>MONTH(B46)</f>
        <v>1</v>
      </c>
      <c r="D46" t="inlineStr">
        <is>
          <t>Montserrado</t>
        </is>
      </c>
      <c r="E46" t="inlineStr">
        <is>
          <t>Sinkor - Urban Roadside</t>
        </is>
      </c>
      <c r="F46" t="inlineStr">
        <is>
          <t>Urban Roadside</t>
        </is>
      </c>
      <c r="G46" t="inlineStr">
        <is>
          <t>Air</t>
        </is>
      </c>
      <c r="H46" t="inlineStr">
        <is>
          <t>PM10</t>
        </is>
      </c>
      <c r="I46" t="n">
        <v>127.4</v>
      </c>
      <c r="J46" t="inlineStr">
        <is>
          <t>ug/m3</t>
        </is>
      </c>
      <c r="K46" t="n">
        <v>0</v>
      </c>
      <c r="L46" t="n">
        <v>50</v>
      </c>
      <c r="M46" t="str">
        <f>IF(AND(I46&gt;=K46,I46&lt;=L46),"Yes","No")</f>
        <v>No</v>
      </c>
      <c r="N46" s="34">
        <f>IF(L46=0,"",I46/L46)</f>
        <v>2.548</v>
      </c>
      <c r="O46" s="33" t="n">
        <v>450</v>
      </c>
      <c r="P46" t="inlineStr">
        <is>
          <t>Benson Hospital</t>
        </is>
      </c>
      <c r="Q46" t="inlineStr">
        <is>
          <t>E. Sebo</t>
        </is>
      </c>
    </row>
    <row r="47">
      <c r="A47" t="inlineStr">
        <is>
          <t>RD-2026-00044</t>
        </is>
      </c>
      <c r="B47" s="32" t="n">
        <v>46052</v>
      </c>
      <c r="C47" s="33">
        <f>MONTH(B47)</f>
        <v>1</v>
      </c>
      <c r="D47" t="inlineStr">
        <is>
          <t>Montserrado</t>
        </is>
      </c>
      <c r="E47" t="inlineStr">
        <is>
          <t>Johnsonville - Medical Facility</t>
        </is>
      </c>
      <c r="F47" t="inlineStr">
        <is>
          <t>Medical Facility</t>
        </is>
      </c>
      <c r="G47" t="inlineStr">
        <is>
          <t>Ambient Radiation</t>
        </is>
      </c>
      <c r="H47" t="inlineStr">
        <is>
          <t>Gamma Dose Rate</t>
        </is>
      </c>
      <c r="I47" t="n">
        <v>0.11</v>
      </c>
      <c r="J47" t="inlineStr">
        <is>
          <t>uSv/h</t>
        </is>
      </c>
      <c r="K47" t="n">
        <v>0</v>
      </c>
      <c r="L47" t="n">
        <v>0.3</v>
      </c>
      <c r="M47" t="str">
        <f>IF(AND(I47&gt;=K47,I47&lt;=L47),"Yes","No")</f>
        <v>Yes</v>
      </c>
      <c r="N47" s="34">
        <f>IF(L47=0,"",I47/L47)</f>
        <v>0.3666666667</v>
      </c>
      <c r="O47" s="33" t="n">
        <v>0</v>
      </c>
      <c r="P47" t="inlineStr">
        <is>
          <t>JFK Memorial Hospital</t>
        </is>
      </c>
      <c r="Q47" t="inlineStr">
        <is>
          <t>A. Kollie</t>
        </is>
      </c>
    </row>
    <row r="48">
      <c r="A48" t="inlineStr">
        <is>
          <t>AQ-2026-00045</t>
        </is>
      </c>
      <c r="B48" s="32" t="n">
        <v>46025</v>
      </c>
      <c r="C48" s="33">
        <f>MONTH(B48)</f>
        <v>1</v>
      </c>
      <c r="D48" t="inlineStr">
        <is>
          <t>Bong</t>
        </is>
      </c>
      <c r="E48" t="inlineStr">
        <is>
          <t>Gbarnga - Residential Area</t>
        </is>
      </c>
      <c r="F48" t="inlineStr">
        <is>
          <t>Residential Area</t>
        </is>
      </c>
      <c r="G48" t="inlineStr">
        <is>
          <t>Air</t>
        </is>
      </c>
      <c r="H48" t="inlineStr">
        <is>
          <t>Sulphur Dioxide (SO2)</t>
        </is>
      </c>
      <c r="I48" t="n">
        <v>48</v>
      </c>
      <c r="J48" t="inlineStr">
        <is>
          <t>ug/m3</t>
        </is>
      </c>
      <c r="K48" t="n">
        <v>0</v>
      </c>
      <c r="L48" t="n">
        <v>125</v>
      </c>
      <c r="M48" t="str">
        <f>IF(AND(I48&gt;=K48,I48&lt;=L48),"Yes","No")</f>
        <v>Yes</v>
      </c>
      <c r="N48" s="34">
        <f>IF(L48=0,"",I48/L48)</f>
        <v>0.384</v>
      </c>
      <c r="O48" s="33" t="n">
        <v>450</v>
      </c>
      <c r="P48" t="inlineStr">
        <is>
          <t>Suakoko Clinic</t>
        </is>
      </c>
      <c r="Q48" t="inlineStr">
        <is>
          <t>H. Zolia</t>
        </is>
      </c>
    </row>
    <row r="49">
      <c r="A49" t="inlineStr">
        <is>
          <t>WQ-2026-00046</t>
        </is>
      </c>
      <c r="B49" s="32" t="n">
        <v>46023</v>
      </c>
      <c r="C49" s="33">
        <f>MONTH(B49)</f>
        <v>1</v>
      </c>
      <c r="D49" t="inlineStr">
        <is>
          <t>Lofa</t>
        </is>
      </c>
      <c r="E49" t="inlineStr">
        <is>
          <t>Voinjama - Hand-Dug Well</t>
        </is>
      </c>
      <c r="F49" t="inlineStr">
        <is>
          <t>Hand-Dug Well</t>
        </is>
      </c>
      <c r="G49" t="inlineStr">
        <is>
          <t>Water</t>
        </is>
      </c>
      <c r="H49" t="inlineStr">
        <is>
          <t>Lead</t>
        </is>
      </c>
      <c r="I49" t="n">
        <v>0.007</v>
      </c>
      <c r="J49" t="inlineStr">
        <is>
          <t>mg/L</t>
        </is>
      </c>
      <c r="K49" t="n">
        <v>0</v>
      </c>
      <c r="L49" t="n">
        <v>0.01</v>
      </c>
      <c r="M49" t="str">
        <f>IF(AND(I49&gt;=K49,I49&lt;=L49),"Yes","No")</f>
        <v>Yes</v>
      </c>
      <c r="N49" s="34">
        <f>IF(L49=0,"",I49/L49)</f>
        <v>0.7</v>
      </c>
      <c r="O49" s="33" t="n">
        <v>750</v>
      </c>
      <c r="P49" t="inlineStr">
        <is>
          <t>Zorzor Hospital</t>
        </is>
      </c>
      <c r="Q49" t="inlineStr">
        <is>
          <t>J. Nyeman</t>
        </is>
      </c>
    </row>
    <row r="50">
      <c r="A50" t="inlineStr">
        <is>
          <t>AQ-2026-00047</t>
        </is>
      </c>
      <c r="B50" s="32" t="n">
        <v>46037</v>
      </c>
      <c r="C50" s="33">
        <f>MONTH(B50)</f>
        <v>1</v>
      </c>
      <c r="D50" t="inlineStr">
        <is>
          <t>Lofa</t>
        </is>
      </c>
      <c r="E50" t="inlineStr">
        <is>
          <t>Foya - Market Area</t>
        </is>
      </c>
      <c r="F50" t="inlineStr">
        <is>
          <t>Market Area</t>
        </is>
      </c>
      <c r="G50" t="inlineStr">
        <is>
          <t>Air</t>
        </is>
      </c>
      <c r="H50" t="inlineStr">
        <is>
          <t>Nitrogen Dioxide (NO2)</t>
        </is>
      </c>
      <c r="I50" t="n">
        <v>10.8</v>
      </c>
      <c r="J50" t="inlineStr">
        <is>
          <t>ug/m3</t>
        </is>
      </c>
      <c r="K50" t="n">
        <v>0</v>
      </c>
      <c r="L50" t="n">
        <v>40</v>
      </c>
      <c r="M50" t="str">
        <f>IF(AND(I50&gt;=K50,I50&lt;=L50),"Yes","No")</f>
        <v>Yes</v>
      </c>
      <c r="N50" s="34">
        <f>IF(L50=0,"",I50/L50)</f>
        <v>0.27</v>
      </c>
      <c r="O50" s="33" t="n">
        <v>0</v>
      </c>
      <c r="P50" t="inlineStr">
        <is>
          <t>Foya Health Center</t>
        </is>
      </c>
      <c r="Q50" t="inlineStr">
        <is>
          <t>H. Zolia</t>
        </is>
      </c>
    </row>
    <row r="51">
      <c r="A51" t="inlineStr">
        <is>
          <t>WQ-2026-00048</t>
        </is>
      </c>
      <c r="B51" s="32" t="n">
        <v>46025</v>
      </c>
      <c r="C51" s="33">
        <f>MONTH(B51)</f>
        <v>1</v>
      </c>
      <c r="D51" t="inlineStr">
        <is>
          <t>Lofa</t>
        </is>
      </c>
      <c r="E51" t="inlineStr">
        <is>
          <t>Kolahun - School Water Point</t>
        </is>
      </c>
      <c r="F51" t="inlineStr">
        <is>
          <t>School Water Point</t>
        </is>
      </c>
      <c r="G51" t="inlineStr">
        <is>
          <t>Water</t>
        </is>
      </c>
      <c r="H51" t="inlineStr">
        <is>
          <t>Lead</t>
        </is>
      </c>
      <c r="I51" t="n">
        <v>0.004</v>
      </c>
      <c r="J51" t="inlineStr">
        <is>
          <t>mg/L</t>
        </is>
      </c>
      <c r="K51" t="n">
        <v>0</v>
      </c>
      <c r="L51" t="n">
        <v>0.01</v>
      </c>
      <c r="M51" t="str">
        <f>IF(AND(I51&gt;=K51,I51&lt;=L51),"Yes","No")</f>
        <v>Yes</v>
      </c>
      <c r="N51" s="34">
        <f>IF(L51=0,"",I51/L51)</f>
        <v>0.4</v>
      </c>
      <c r="O51" s="33" t="n">
        <v>1200</v>
      </c>
      <c r="P51" t="inlineStr">
        <is>
          <t>Foya Health Center</t>
        </is>
      </c>
      <c r="Q51" t="inlineStr">
        <is>
          <t>B. Kpadeh</t>
        </is>
      </c>
    </row>
    <row r="52">
      <c r="A52" t="inlineStr">
        <is>
          <t>WQ-2026-00049</t>
        </is>
      </c>
      <c r="B52" s="32" t="n">
        <v>46048</v>
      </c>
      <c r="C52" s="33">
        <f>MONTH(B52)</f>
        <v>1</v>
      </c>
      <c r="D52" t="inlineStr">
        <is>
          <t>Lofa</t>
        </is>
      </c>
      <c r="E52" t="inlineStr">
        <is>
          <t>Kolahun - School Water Point</t>
        </is>
      </c>
      <c r="F52" t="inlineStr">
        <is>
          <t>School Water Point</t>
        </is>
      </c>
      <c r="G52" t="inlineStr">
        <is>
          <t>Water</t>
        </is>
      </c>
      <c r="H52" t="inlineStr">
        <is>
          <t>Arsenic</t>
        </is>
      </c>
      <c r="I52" t="n">
        <v>0.0315</v>
      </c>
      <c r="J52" t="inlineStr">
        <is>
          <t>mg/L</t>
        </is>
      </c>
      <c r="K52" t="n">
        <v>0</v>
      </c>
      <c r="L52" t="n">
        <v>0.01</v>
      </c>
      <c r="M52" t="str">
        <f>IF(AND(I52&gt;=K52,I52&lt;=L52),"Yes","No")</f>
        <v>No</v>
      </c>
      <c r="N52" s="34">
        <f>IF(L52=0,"",I52/L52)</f>
        <v>3.15</v>
      </c>
      <c r="O52" s="33" t="n">
        <v>900</v>
      </c>
      <c r="P52" t="inlineStr">
        <is>
          <t>Curran Lutheran Hospital</t>
        </is>
      </c>
      <c r="Q52" t="inlineStr">
        <is>
          <t>M. Toe</t>
        </is>
      </c>
    </row>
    <row r="53">
      <c r="A53" t="inlineStr">
        <is>
          <t>SL-2026-00050</t>
        </is>
      </c>
      <c r="B53" s="32" t="n">
        <v>46033</v>
      </c>
      <c r="C53" s="33">
        <f>MONTH(B53)</f>
        <v>1</v>
      </c>
      <c r="D53" t="inlineStr">
        <is>
          <t>Montserrado</t>
        </is>
      </c>
      <c r="E53" t="inlineStr">
        <is>
          <t>New Kru Town - Industrial Site</t>
        </is>
      </c>
      <c r="F53" t="inlineStr">
        <is>
          <t>Industrial Site</t>
        </is>
      </c>
      <c r="G53" t="inlineStr">
        <is>
          <t>Soil</t>
        </is>
      </c>
      <c r="H53" t="inlineStr">
        <is>
          <t>Arsenic</t>
        </is>
      </c>
      <c r="I53" t="n">
        <v>55.1</v>
      </c>
      <c r="J53" t="inlineStr">
        <is>
          <t>mg/kg</t>
        </is>
      </c>
      <c r="K53" t="n">
        <v>0</v>
      </c>
      <c r="L53" t="n">
        <v>20</v>
      </c>
      <c r="M53" t="str">
        <f>IF(AND(I53&gt;=K53,I53&lt;=L53),"Yes","No")</f>
        <v>No</v>
      </c>
      <c r="N53" s="34">
        <f>IF(L53=0,"",I53/L53)</f>
        <v>2.755</v>
      </c>
      <c r="O53" s="33" t="n">
        <v>0</v>
      </c>
      <c r="P53" t="inlineStr">
        <is>
          <t>JFK Memorial Hospital</t>
        </is>
      </c>
      <c r="Q53" t="inlineStr">
        <is>
          <t>T. Mulbah</t>
        </is>
      </c>
    </row>
    <row r="54">
      <c r="A54" t="inlineStr">
        <is>
          <t>WQ-2026-00051</t>
        </is>
      </c>
      <c r="B54" s="32" t="n">
        <v>46047</v>
      </c>
      <c r="C54" s="33">
        <f>MONTH(B54)</f>
        <v>1</v>
      </c>
      <c r="D54" t="inlineStr">
        <is>
          <t>Gbarpolu</t>
        </is>
      </c>
      <c r="E54" t="inlineStr">
        <is>
          <t>Kongba - Community Borehole</t>
        </is>
      </c>
      <c r="F54" t="inlineStr">
        <is>
          <t>Community Borehole</t>
        </is>
      </c>
      <c r="G54" t="inlineStr">
        <is>
          <t>Water</t>
        </is>
      </c>
      <c r="H54" t="inlineStr">
        <is>
          <t>Turbidity</t>
        </is>
      </c>
      <c r="I54" t="n">
        <v>3.7</v>
      </c>
      <c r="J54" t="inlineStr">
        <is>
          <t>NTU</t>
        </is>
      </c>
      <c r="K54" t="n">
        <v>0</v>
      </c>
      <c r="L54" t="n">
        <v>5</v>
      </c>
      <c r="M54" t="str">
        <f>IF(AND(I54&gt;=K54,I54&lt;=L54),"Yes","No")</f>
        <v>Yes</v>
      </c>
      <c r="N54" s="34">
        <f>IF(L54=0,"",I54/L54)</f>
        <v>0.74</v>
      </c>
      <c r="O54" s="33" t="n">
        <v>750</v>
      </c>
      <c r="P54" t="inlineStr">
        <is>
          <t>Bopolu Health Center</t>
        </is>
      </c>
      <c r="Q54" t="inlineStr">
        <is>
          <t>H. Zolia</t>
        </is>
      </c>
    </row>
    <row r="55">
      <c r="A55" t="inlineStr">
        <is>
          <t>SL-2026-00052</t>
        </is>
      </c>
      <c r="B55" s="32" t="n">
        <v>46030</v>
      </c>
      <c r="C55" s="33">
        <f>MONTH(B55)</f>
        <v>1</v>
      </c>
      <c r="D55" t="inlineStr">
        <is>
          <t>Bong</t>
        </is>
      </c>
      <c r="E55" t="inlineStr">
        <is>
          <t>Totota - Playground</t>
        </is>
      </c>
      <c r="F55" t="inlineStr">
        <is>
          <t>Playground</t>
        </is>
      </c>
      <c r="G55" t="inlineStr">
        <is>
          <t>Soil</t>
        </is>
      </c>
      <c r="H55" t="inlineStr">
        <is>
          <t>Arsenic</t>
        </is>
      </c>
      <c r="I55" t="n">
        <v>29.5</v>
      </c>
      <c r="J55" t="inlineStr">
        <is>
          <t>mg/kg</t>
        </is>
      </c>
      <c r="K55" t="n">
        <v>0</v>
      </c>
      <c r="L55" t="n">
        <v>20</v>
      </c>
      <c r="M55" t="str">
        <f>IF(AND(I55&gt;=K55,I55&lt;=L55),"Yes","No")</f>
        <v>No</v>
      </c>
      <c r="N55" s="34">
        <f>IF(L55=0,"",I55/L55)</f>
        <v>1.475</v>
      </c>
      <c r="O55" s="33" t="n">
        <v>3500</v>
      </c>
      <c r="P55" t="inlineStr">
        <is>
          <t>Suakoko Clinic</t>
        </is>
      </c>
      <c r="Q55" t="inlineStr">
        <is>
          <t>P. Wleh</t>
        </is>
      </c>
    </row>
    <row r="56">
      <c r="A56" t="inlineStr">
        <is>
          <t>WQ-2026-00053</t>
        </is>
      </c>
      <c r="B56" s="32" t="n">
        <v>46034</v>
      </c>
      <c r="C56" s="33">
        <f>MONTH(B56)</f>
        <v>1</v>
      </c>
      <c r="D56" t="inlineStr">
        <is>
          <t>Lofa</t>
        </is>
      </c>
      <c r="E56" t="inlineStr">
        <is>
          <t>Foya - School Water Point</t>
        </is>
      </c>
      <c r="F56" t="inlineStr">
        <is>
          <t>School Water Point</t>
        </is>
      </c>
      <c r="G56" t="inlineStr">
        <is>
          <t>Water</t>
        </is>
      </c>
      <c r="H56" t="inlineStr">
        <is>
          <t>Lead</t>
        </is>
      </c>
      <c r="I56" t="n">
        <v>0.0008</v>
      </c>
      <c r="J56" t="inlineStr">
        <is>
          <t>mg/L</t>
        </is>
      </c>
      <c r="K56" t="n">
        <v>0</v>
      </c>
      <c r="L56" t="n">
        <v>0.01</v>
      </c>
      <c r="M56" t="str">
        <f>IF(AND(I56&gt;=K56,I56&lt;=L56),"Yes","No")</f>
        <v>Yes</v>
      </c>
      <c r="N56" s="34">
        <f>IF(L56=0,"",I56/L56)</f>
        <v>0.08</v>
      </c>
      <c r="O56" s="33" t="n">
        <v>750</v>
      </c>
      <c r="P56" t="inlineStr">
        <is>
          <t>Zorzor Hospital</t>
        </is>
      </c>
      <c r="Q56" t="inlineStr">
        <is>
          <t>H. Zolia</t>
        </is>
      </c>
    </row>
    <row r="57">
      <c r="A57" t="inlineStr">
        <is>
          <t>AQ-2026-00054</t>
        </is>
      </c>
      <c r="B57" s="32" t="n">
        <v>46023</v>
      </c>
      <c r="C57" s="33">
        <f>MONTH(B57)</f>
        <v>1</v>
      </c>
      <c r="D57" t="inlineStr">
        <is>
          <t>Montserrado</t>
        </is>
      </c>
      <c r="E57" t="inlineStr">
        <is>
          <t>Golden Veroleum Palm Oil</t>
        </is>
      </c>
      <c r="F57" t="inlineStr">
        <is>
          <t>Industrial Perimeter</t>
        </is>
      </c>
      <c r="G57" t="inlineStr">
        <is>
          <t>Air</t>
        </is>
      </c>
      <c r="H57" t="inlineStr">
        <is>
          <t>Nitrogen Dioxide (NO2)</t>
        </is>
      </c>
      <c r="I57" t="n">
        <v>120.5</v>
      </c>
      <c r="J57" t="inlineStr">
        <is>
          <t>ug/m3</t>
        </is>
      </c>
      <c r="K57" t="n">
        <v>0</v>
      </c>
      <c r="L57" t="n">
        <v>40</v>
      </c>
      <c r="M57" t="str">
        <f>IF(AND(I57&gt;=K57,I57&lt;=L57),"Yes","No")</f>
        <v>No</v>
      </c>
      <c r="N57" s="34">
        <f>IF(L57=0,"",I57/L57)</f>
        <v>3.0125</v>
      </c>
      <c r="O57" s="33" t="n">
        <v>200</v>
      </c>
      <c r="P57" t="inlineStr">
        <is>
          <t>St. Joseph's Catholic Hospital</t>
        </is>
      </c>
      <c r="Q57" t="inlineStr">
        <is>
          <t>E. Sebo</t>
        </is>
      </c>
    </row>
    <row r="58">
      <c r="A58" t="inlineStr">
        <is>
          <t>WQ-2026-00055</t>
        </is>
      </c>
      <c r="B58" s="32" t="n">
        <v>46038</v>
      </c>
      <c r="C58" s="33">
        <f>MONTH(B58)</f>
        <v>1</v>
      </c>
      <c r="D58" t="inlineStr">
        <is>
          <t>Grand Bassa</t>
        </is>
      </c>
      <c r="E58" t="inlineStr">
        <is>
          <t>Buchanan - Hand-Dug Well</t>
        </is>
      </c>
      <c r="F58" t="inlineStr">
        <is>
          <t>Hand-Dug Well</t>
        </is>
      </c>
      <c r="G58" t="inlineStr">
        <is>
          <t>Water</t>
        </is>
      </c>
      <c r="H58" t="inlineStr">
        <is>
          <t>Arsenic</t>
        </is>
      </c>
      <c r="I58" t="n">
        <v>0.0017</v>
      </c>
      <c r="J58" t="inlineStr">
        <is>
          <t>mg/L</t>
        </is>
      </c>
      <c r="K58" t="n">
        <v>0</v>
      </c>
      <c r="L58" t="n">
        <v>0.01</v>
      </c>
      <c r="M58" t="str">
        <f>IF(AND(I58&gt;=K58,I58&lt;=L58),"Yes","No")</f>
        <v>Yes</v>
      </c>
      <c r="N58" s="34">
        <f>IF(L58=0,"",I58/L58)</f>
        <v>0.17</v>
      </c>
      <c r="O58" s="33" t="n">
        <v>2500</v>
      </c>
      <c r="P58" t="inlineStr">
        <is>
          <t>Edina Health Center</t>
        </is>
      </c>
      <c r="Q58" t="inlineStr">
        <is>
          <t>F. Gbato</t>
        </is>
      </c>
    </row>
    <row r="59">
      <c r="A59" t="inlineStr">
        <is>
          <t>WQ-2026-00056</t>
        </is>
      </c>
      <c r="B59" s="32" t="n">
        <v>46030</v>
      </c>
      <c r="C59" s="33">
        <f>MONTH(B59)</f>
        <v>1</v>
      </c>
      <c r="D59" t="inlineStr">
        <is>
          <t>Nimba</t>
        </is>
      </c>
      <c r="E59" t="inlineStr">
        <is>
          <t>Saclepea - River / Stream Intake</t>
        </is>
      </c>
      <c r="F59" t="inlineStr">
        <is>
          <t>River / Stream Intake</t>
        </is>
      </c>
      <c r="G59" t="inlineStr">
        <is>
          <t>Water</t>
        </is>
      </c>
      <c r="H59" t="inlineStr">
        <is>
          <t>Iron</t>
        </is>
      </c>
      <c r="I59" t="n">
        <v>0.15</v>
      </c>
      <c r="J59" t="inlineStr">
        <is>
          <t>mg/L</t>
        </is>
      </c>
      <c r="K59" t="n">
        <v>0</v>
      </c>
      <c r="L59" t="n">
        <v>0.3</v>
      </c>
      <c r="M59" t="str">
        <f>IF(AND(I59&gt;=K59,I59&lt;=L59),"Yes","No")</f>
        <v>Yes</v>
      </c>
      <c r="N59" s="34">
        <f>IF(L59=0,"",I59/L59)</f>
        <v>0.5</v>
      </c>
      <c r="O59" s="33" t="n">
        <v>350</v>
      </c>
      <c r="P59" t="inlineStr">
        <is>
          <t>Ganta United Methodist Hospital</t>
        </is>
      </c>
      <c r="Q59" t="inlineStr">
        <is>
          <t>P. Wleh</t>
        </is>
      </c>
    </row>
    <row r="60">
      <c r="A60" t="inlineStr">
        <is>
          <t>WQ-2026-00057</t>
        </is>
      </c>
      <c r="B60" s="32" t="n">
        <v>46050</v>
      </c>
      <c r="C60" s="33">
        <f>MONTH(B60)</f>
        <v>1</v>
      </c>
      <c r="D60" t="inlineStr">
        <is>
          <t>Margibi</t>
        </is>
      </c>
      <c r="E60" t="inlineStr">
        <is>
          <t>Harbel - River / Stream Intake</t>
        </is>
      </c>
      <c r="F60" t="inlineStr">
        <is>
          <t>River / Stream Intake</t>
        </is>
      </c>
      <c r="G60" t="inlineStr">
        <is>
          <t>Water</t>
        </is>
      </c>
      <c r="H60" t="inlineStr">
        <is>
          <t>Manganese</t>
        </is>
      </c>
      <c r="I60" t="n">
        <v>0.12</v>
      </c>
      <c r="J60" t="inlineStr">
        <is>
          <t>mg/L</t>
        </is>
      </c>
      <c r="K60" t="n">
        <v>0</v>
      </c>
      <c r="L60" t="n">
        <v>0.4</v>
      </c>
      <c r="M60" t="str">
        <f>IF(AND(I60&gt;=K60,I60&lt;=L60),"Yes","No")</f>
        <v>Yes</v>
      </c>
      <c r="N60" s="34">
        <f>IF(L60=0,"",I60/L60)</f>
        <v>0.3</v>
      </c>
      <c r="O60" s="33" t="n">
        <v>750</v>
      </c>
      <c r="P60" t="inlineStr">
        <is>
          <t>Harbel Health Center</t>
        </is>
      </c>
      <c r="Q60" t="inlineStr">
        <is>
          <t>E. Sebo</t>
        </is>
      </c>
    </row>
    <row r="61">
      <c r="A61" t="inlineStr">
        <is>
          <t>WQ-2026-00058</t>
        </is>
      </c>
      <c r="B61" s="32" t="n">
        <v>46042</v>
      </c>
      <c r="C61" s="33">
        <f>MONTH(B61)</f>
        <v>1</v>
      </c>
      <c r="D61" t="inlineStr">
        <is>
          <t>Montserrado</t>
        </is>
      </c>
      <c r="E61" t="inlineStr">
        <is>
          <t>Caldwell - School Water Point</t>
        </is>
      </c>
      <c r="F61" t="inlineStr">
        <is>
          <t>School Water Point</t>
        </is>
      </c>
      <c r="G61" t="inlineStr">
        <is>
          <t>Water</t>
        </is>
      </c>
      <c r="H61" t="inlineStr">
        <is>
          <t>Nitrate (as NO3)</t>
        </is>
      </c>
      <c r="I61" t="n">
        <v>6</v>
      </c>
      <c r="J61" t="inlineStr">
        <is>
          <t>mg/L</t>
        </is>
      </c>
      <c r="K61" t="n">
        <v>0</v>
      </c>
      <c r="L61" t="n">
        <v>10</v>
      </c>
      <c r="M61" t="str">
        <f>IF(AND(I61&gt;=K61,I61&lt;=L61),"Yes","No")</f>
        <v>Yes</v>
      </c>
      <c r="N61" s="34">
        <f>IF(L61=0,"",I61/L61)</f>
        <v>0.6</v>
      </c>
      <c r="O61" s="33" t="n">
        <v>4200</v>
      </c>
      <c r="P61" t="inlineStr">
        <is>
          <t>St. Joseph's Catholic Hospital</t>
        </is>
      </c>
      <c r="Q61" t="inlineStr">
        <is>
          <t>S. Dolo</t>
        </is>
      </c>
    </row>
    <row r="62">
      <c r="A62" t="inlineStr">
        <is>
          <t>SL-2026-00059</t>
        </is>
      </c>
      <c r="B62" s="32" t="n">
        <v>46052</v>
      </c>
      <c r="C62" s="33">
        <f>MONTH(B62)</f>
        <v>1</v>
      </c>
      <c r="D62" t="inlineStr">
        <is>
          <t>Grand Cape Mount</t>
        </is>
      </c>
      <c r="E62" t="inlineStr">
        <is>
          <t>Sinje - Dumpsite Perimeter</t>
        </is>
      </c>
      <c r="F62" t="inlineStr">
        <is>
          <t>Dumpsite Perimeter</t>
        </is>
      </c>
      <c r="G62" t="inlineStr">
        <is>
          <t>Soil</t>
        </is>
      </c>
      <c r="H62" t="inlineStr">
        <is>
          <t>Mercury</t>
        </is>
      </c>
      <c r="I62" t="n">
        <v>0.1</v>
      </c>
      <c r="J62" t="inlineStr">
        <is>
          <t>mg/kg</t>
        </is>
      </c>
      <c r="K62" t="n">
        <v>0</v>
      </c>
      <c r="L62" t="n">
        <v>1</v>
      </c>
      <c r="M62" t="str">
        <f>IF(AND(I62&gt;=K62,I62&lt;=L62),"Yes","No")</f>
        <v>Yes</v>
      </c>
      <c r="N62" s="34">
        <f>IF(L62=0,"",I62/L62)</f>
        <v>0.1</v>
      </c>
      <c r="O62" s="33" t="n">
        <v>3500</v>
      </c>
      <c r="P62" t="inlineStr">
        <is>
          <t>St. Timothy Hospital</t>
        </is>
      </c>
      <c r="Q62" t="inlineStr">
        <is>
          <t>B. Kpadeh</t>
        </is>
      </c>
    </row>
    <row r="63">
      <c r="A63" t="inlineStr">
        <is>
          <t>WQ-2026-00060</t>
        </is>
      </c>
      <c r="B63" s="32" t="n">
        <v>46033</v>
      </c>
      <c r="C63" s="33">
        <f>MONTH(B63)</f>
        <v>1</v>
      </c>
      <c r="D63" t="inlineStr">
        <is>
          <t>Montserrado</t>
        </is>
      </c>
      <c r="E63" t="inlineStr">
        <is>
          <t>Paynesville - Hand-Dug Well</t>
        </is>
      </c>
      <c r="F63" t="inlineStr">
        <is>
          <t>Hand-Dug Well</t>
        </is>
      </c>
      <c r="G63" t="inlineStr">
        <is>
          <t>Water</t>
        </is>
      </c>
      <c r="H63" t="inlineStr">
        <is>
          <t>Nitrate (as NO3)</t>
        </is>
      </c>
      <c r="I63" t="n">
        <v>8.199999999999999</v>
      </c>
      <c r="J63" t="inlineStr">
        <is>
          <t>mg/L</t>
        </is>
      </c>
      <c r="K63" t="n">
        <v>0</v>
      </c>
      <c r="L63" t="n">
        <v>10</v>
      </c>
      <c r="M63" t="str">
        <f>IF(AND(I63&gt;=K63,I63&lt;=L63),"Yes","No")</f>
        <v>Yes</v>
      </c>
      <c r="N63" s="34">
        <f>IF(L63=0,"",I63/L63)</f>
        <v>0.82</v>
      </c>
      <c r="O63" s="33" t="n">
        <v>240</v>
      </c>
      <c r="P63" t="inlineStr">
        <is>
          <t>JFK Memorial Hospital</t>
        </is>
      </c>
      <c r="Q63" t="inlineStr">
        <is>
          <t>F. Gbato</t>
        </is>
      </c>
    </row>
    <row r="64">
      <c r="A64" t="inlineStr">
        <is>
          <t>SL-2026-00061</t>
        </is>
      </c>
      <c r="B64" s="32" t="n">
        <v>46035</v>
      </c>
      <c r="C64" s="33">
        <f>MONTH(B64)</f>
        <v>1</v>
      </c>
      <c r="D64" t="inlineStr">
        <is>
          <t>Grand Bassa</t>
        </is>
      </c>
      <c r="E64" t="inlineStr">
        <is>
          <t>Firestone Rubber Plantation</t>
        </is>
      </c>
      <c r="F64" t="inlineStr">
        <is>
          <t>Industrial Perimeter</t>
        </is>
      </c>
      <c r="G64" t="inlineStr">
        <is>
          <t>Soil</t>
        </is>
      </c>
      <c r="H64" t="inlineStr">
        <is>
          <t>Cadmium</t>
        </is>
      </c>
      <c r="I64" t="n">
        <v>1.7</v>
      </c>
      <c r="J64" t="inlineStr">
        <is>
          <t>mg/kg</t>
        </is>
      </c>
      <c r="K64" t="n">
        <v>0</v>
      </c>
      <c r="L64" t="n">
        <v>3</v>
      </c>
      <c r="M64" t="str">
        <f>IF(AND(I64&gt;=K64,I64&lt;=L64),"Yes","No")</f>
        <v>Yes</v>
      </c>
      <c r="N64" s="34">
        <f>IF(L64=0,"",I64/L64)</f>
        <v>0.5666666667</v>
      </c>
      <c r="O64" s="33" t="n">
        <v>0</v>
      </c>
      <c r="P64" t="inlineStr">
        <is>
          <t>Edina Health Center</t>
        </is>
      </c>
      <c r="Q64" t="inlineStr">
        <is>
          <t>E. Sebo</t>
        </is>
      </c>
    </row>
    <row r="65">
      <c r="A65" t="inlineStr">
        <is>
          <t>WQ-2026-00062</t>
        </is>
      </c>
      <c r="B65" s="32" t="n">
        <v>46026</v>
      </c>
      <c r="C65" s="33">
        <f>MONTH(B65)</f>
        <v>1</v>
      </c>
      <c r="D65" t="inlineStr">
        <is>
          <t>Montserrado</t>
        </is>
      </c>
      <c r="E65" t="inlineStr">
        <is>
          <t>Paynesville - School Water Point</t>
        </is>
      </c>
      <c r="F65" t="inlineStr">
        <is>
          <t>School Water Point</t>
        </is>
      </c>
      <c r="G65" t="inlineStr">
        <is>
          <t>Water</t>
        </is>
      </c>
      <c r="H65" t="inlineStr">
        <is>
          <t>Iron</t>
        </is>
      </c>
      <c r="I65" t="n">
        <v>0.13</v>
      </c>
      <c r="J65" t="inlineStr">
        <is>
          <t>mg/L</t>
        </is>
      </c>
      <c r="K65" t="n">
        <v>0</v>
      </c>
      <c r="L65" t="n">
        <v>0.3</v>
      </c>
      <c r="M65" t="str">
        <f>IF(AND(I65&gt;=K65,I65&lt;=L65),"Yes","No")</f>
        <v>Yes</v>
      </c>
      <c r="N65" s="34">
        <f>IF(L65=0,"",I65/L65)</f>
        <v>0.4333333333</v>
      </c>
      <c r="O65" s="33" t="n">
        <v>1200</v>
      </c>
      <c r="P65" t="inlineStr">
        <is>
          <t>Benson Hospital</t>
        </is>
      </c>
      <c r="Q65" t="inlineStr">
        <is>
          <t>B. Kpadeh</t>
        </is>
      </c>
    </row>
    <row r="66">
      <c r="A66" t="inlineStr">
        <is>
          <t>AQ-2026-00063</t>
        </is>
      </c>
      <c r="B66" s="32" t="n">
        <v>46046</v>
      </c>
      <c r="C66" s="33">
        <f>MONTH(B66)</f>
        <v>1</v>
      </c>
      <c r="D66" t="inlineStr">
        <is>
          <t>Nimba</t>
        </is>
      </c>
      <c r="E66" t="inlineStr">
        <is>
          <t>Butuo - Market Area</t>
        </is>
      </c>
      <c r="F66" t="inlineStr">
        <is>
          <t>Market Area</t>
        </is>
      </c>
      <c r="G66" t="inlineStr">
        <is>
          <t>Air</t>
        </is>
      </c>
      <c r="H66" t="inlineStr">
        <is>
          <t>PM2.5</t>
        </is>
      </c>
      <c r="I66" t="n">
        <v>14.8</v>
      </c>
      <c r="J66" t="inlineStr">
        <is>
          <t>ug/m3</t>
        </is>
      </c>
      <c r="K66" t="n">
        <v>0</v>
      </c>
      <c r="L66" t="n">
        <v>25</v>
      </c>
      <c r="M66" t="str">
        <f>IF(AND(I66&gt;=K66,I66&lt;=L66),"Yes","No")</f>
        <v>Yes</v>
      </c>
      <c r="N66" s="34">
        <f>IF(L66=0,"",I66/L66)</f>
        <v>0.592</v>
      </c>
      <c r="O66" s="33" t="n">
        <v>800</v>
      </c>
      <c r="P66" t="inlineStr">
        <is>
          <t>Saclepea Health Center</t>
        </is>
      </c>
      <c r="Q66" t="inlineStr">
        <is>
          <t>T. Mulbah</t>
        </is>
      </c>
    </row>
    <row r="67">
      <c r="A67" t="inlineStr">
        <is>
          <t>AQ-2026-00064</t>
        </is>
      </c>
      <c r="B67" s="32" t="n">
        <v>46038</v>
      </c>
      <c r="C67" s="33">
        <f>MONTH(B67)</f>
        <v>1</v>
      </c>
      <c r="D67" t="inlineStr">
        <is>
          <t>Grand Cape Mount</t>
        </is>
      </c>
      <c r="E67" t="inlineStr">
        <is>
          <t>Tieni - Industrial Perimeter</t>
        </is>
      </c>
      <c r="F67" t="inlineStr">
        <is>
          <t>Industrial Perimeter</t>
        </is>
      </c>
      <c r="G67" t="inlineStr">
        <is>
          <t>Air</t>
        </is>
      </c>
      <c r="H67" t="inlineStr">
        <is>
          <t>Sulphur Dioxide (SO2)</t>
        </is>
      </c>
      <c r="I67" t="n">
        <v>39</v>
      </c>
      <c r="J67" t="inlineStr">
        <is>
          <t>ug/m3</t>
        </is>
      </c>
      <c r="K67" t="n">
        <v>0</v>
      </c>
      <c r="L67" t="n">
        <v>125</v>
      </c>
      <c r="M67" t="str">
        <f>IF(AND(I67&gt;=K67,I67&lt;=L67),"Yes","No")</f>
        <v>Yes</v>
      </c>
      <c r="N67" s="34">
        <f>IF(L67=0,"",I67/L67)</f>
        <v>0.312</v>
      </c>
      <c r="O67" s="33" t="n">
        <v>0</v>
      </c>
      <c r="P67" t="inlineStr">
        <is>
          <t>St. Timothy Hospital</t>
        </is>
      </c>
      <c r="Q67" t="inlineStr">
        <is>
          <t>B. Kpadeh</t>
        </is>
      </c>
    </row>
    <row r="68">
      <c r="A68" t="inlineStr">
        <is>
          <t>AQ-2026-00065</t>
        </is>
      </c>
      <c r="B68" s="32" t="n">
        <v>46031</v>
      </c>
      <c r="C68" s="33">
        <f>MONTH(B68)</f>
        <v>1</v>
      </c>
      <c r="D68" t="inlineStr">
        <is>
          <t>Montserrado</t>
        </is>
      </c>
      <c r="E68" t="inlineStr">
        <is>
          <t>New Kru Town - Industrial Perimeter</t>
        </is>
      </c>
      <c r="F68" t="inlineStr">
        <is>
          <t>Industrial Perimeter</t>
        </is>
      </c>
      <c r="G68" t="inlineStr">
        <is>
          <t>Air</t>
        </is>
      </c>
      <c r="H68" t="inlineStr">
        <is>
          <t>PM10</t>
        </is>
      </c>
      <c r="I68" t="n">
        <v>97.09999999999999</v>
      </c>
      <c r="J68" t="inlineStr">
        <is>
          <t>ug/m3</t>
        </is>
      </c>
      <c r="K68" t="n">
        <v>0</v>
      </c>
      <c r="L68" t="n">
        <v>50</v>
      </c>
      <c r="M68" t="str">
        <f>IF(AND(I68&gt;=K68,I68&lt;=L68),"Yes","No")</f>
        <v>No</v>
      </c>
      <c r="N68" s="34">
        <f>IF(L68=0,"",I68/L68)</f>
        <v>1.942</v>
      </c>
      <c r="O68" s="33" t="n">
        <v>450</v>
      </c>
      <c r="P68" t="inlineStr">
        <is>
          <t>Redemption Hospital</t>
        </is>
      </c>
      <c r="Q68" t="inlineStr">
        <is>
          <t>M. Toe</t>
        </is>
      </c>
    </row>
    <row r="69">
      <c r="A69" t="inlineStr">
        <is>
          <t>WQ-2026-00066</t>
        </is>
      </c>
      <c r="B69" s="32" t="n">
        <v>46058</v>
      </c>
      <c r="C69" s="33">
        <f>MONTH(B69)</f>
        <v>2</v>
      </c>
      <c r="D69" t="inlineStr">
        <is>
          <t>Montserrado</t>
        </is>
      </c>
      <c r="E69" t="inlineStr">
        <is>
          <t>Gardnersville - Hand-Dug Well</t>
        </is>
      </c>
      <c r="F69" t="inlineStr">
        <is>
          <t>Hand-Dug Well</t>
        </is>
      </c>
      <c r="G69" t="inlineStr">
        <is>
          <t>Water</t>
        </is>
      </c>
      <c r="H69" t="inlineStr">
        <is>
          <t>Lead</t>
        </is>
      </c>
      <c r="I69" t="n">
        <v>0.0092</v>
      </c>
      <c r="J69" t="inlineStr">
        <is>
          <t>mg/L</t>
        </is>
      </c>
      <c r="K69" t="n">
        <v>0</v>
      </c>
      <c r="L69" t="n">
        <v>0.01</v>
      </c>
      <c r="M69" t="str">
        <f>IF(AND(I69&gt;=K69,I69&lt;=L69),"Yes","No")</f>
        <v>Yes</v>
      </c>
      <c r="N69" s="34">
        <f>IF(L69=0,"",I69/L69)</f>
        <v>0.92</v>
      </c>
      <c r="O69" s="33" t="n">
        <v>120</v>
      </c>
      <c r="P69" t="inlineStr">
        <is>
          <t>St. Joseph's Catholic Hospital</t>
        </is>
      </c>
      <c r="Q69" t="inlineStr">
        <is>
          <t>B. Kpadeh</t>
        </is>
      </c>
    </row>
    <row r="70">
      <c r="A70" t="inlineStr">
        <is>
          <t>RD-2026-00067</t>
        </is>
      </c>
      <c r="B70" s="32" t="n">
        <v>46080</v>
      </c>
      <c r="C70" s="33">
        <f>MONTH(B70)</f>
        <v>2</v>
      </c>
      <c r="D70" t="inlineStr">
        <is>
          <t>Lofa</t>
        </is>
      </c>
      <c r="E70" t="inlineStr">
        <is>
          <t>Voinjama - Industrial Site</t>
        </is>
      </c>
      <c r="F70" t="inlineStr">
        <is>
          <t>Industrial Site</t>
        </is>
      </c>
      <c r="G70" t="inlineStr">
        <is>
          <t>Ambient Radiation</t>
        </is>
      </c>
      <c r="H70" t="inlineStr">
        <is>
          <t>Gamma Dose Rate</t>
        </is>
      </c>
      <c r="I70" t="n">
        <v>0.2</v>
      </c>
      <c r="J70" t="inlineStr">
        <is>
          <t>uSv/h</t>
        </is>
      </c>
      <c r="K70" t="n">
        <v>0</v>
      </c>
      <c r="L70" t="n">
        <v>0.3</v>
      </c>
      <c r="M70" t="str">
        <f>IF(AND(I70&gt;=K70,I70&lt;=L70),"Yes","No")</f>
        <v>Yes</v>
      </c>
      <c r="N70" s="34">
        <f>IF(L70=0,"",I70/L70)</f>
        <v>0.6666666667</v>
      </c>
      <c r="O70" s="33" t="n">
        <v>0</v>
      </c>
      <c r="P70" t="inlineStr">
        <is>
          <t>Curran Lutheran Hospital</t>
        </is>
      </c>
      <c r="Q70" t="inlineStr">
        <is>
          <t>M. Toe</t>
        </is>
      </c>
    </row>
    <row r="71">
      <c r="A71" t="inlineStr">
        <is>
          <t>WQ-2026-00068</t>
        </is>
      </c>
      <c r="B71" s="32" t="n">
        <v>46057</v>
      </c>
      <c r="C71" s="33">
        <f>MONTH(B71)</f>
        <v>2</v>
      </c>
      <c r="D71" t="inlineStr">
        <is>
          <t>Lofa</t>
        </is>
      </c>
      <c r="E71" t="inlineStr">
        <is>
          <t>Kolahun - Community Borehole</t>
        </is>
      </c>
      <c r="F71" t="inlineStr">
        <is>
          <t>Community Borehole</t>
        </is>
      </c>
      <c r="G71" t="inlineStr">
        <is>
          <t>Water</t>
        </is>
      </c>
      <c r="H71" t="inlineStr">
        <is>
          <t>Turbidity</t>
        </is>
      </c>
      <c r="I71" t="n">
        <v>2.4</v>
      </c>
      <c r="J71" t="inlineStr">
        <is>
          <t>NTU</t>
        </is>
      </c>
      <c r="K71" t="n">
        <v>0</v>
      </c>
      <c r="L71" t="n">
        <v>5</v>
      </c>
      <c r="M71" t="str">
        <f>IF(AND(I71&gt;=K71,I71&lt;=L71),"Yes","No")</f>
        <v>Yes</v>
      </c>
      <c r="N71" s="34">
        <f>IF(L71=0,"",I71/L71)</f>
        <v>0.48</v>
      </c>
      <c r="O71" s="33" t="n">
        <v>500</v>
      </c>
      <c r="P71" t="inlineStr">
        <is>
          <t>Curran Lutheran Hospital</t>
        </is>
      </c>
      <c r="Q71" t="inlineStr">
        <is>
          <t>H. Zolia</t>
        </is>
      </c>
    </row>
    <row r="72">
      <c r="A72" t="inlineStr">
        <is>
          <t>RD-2026-00069</t>
        </is>
      </c>
      <c r="B72" s="32" t="n">
        <v>46055</v>
      </c>
      <c r="C72" s="33">
        <f>MONTH(B72)</f>
        <v>2</v>
      </c>
      <c r="D72" t="inlineStr">
        <is>
          <t>Montserrado</t>
        </is>
      </c>
      <c r="E72" t="inlineStr">
        <is>
          <t>West Point - Industrial Site</t>
        </is>
      </c>
      <c r="F72" t="inlineStr">
        <is>
          <t>Industrial Site</t>
        </is>
      </c>
      <c r="G72" t="inlineStr">
        <is>
          <t>Ambient Radiation</t>
        </is>
      </c>
      <c r="H72" t="inlineStr">
        <is>
          <t>Gamma Dose Rate</t>
        </is>
      </c>
      <c r="I72" t="n">
        <v>0.1</v>
      </c>
      <c r="J72" t="inlineStr">
        <is>
          <t>uSv/h</t>
        </is>
      </c>
      <c r="K72" t="n">
        <v>0</v>
      </c>
      <c r="L72" t="n">
        <v>0.3</v>
      </c>
      <c r="M72" t="str">
        <f>IF(AND(I72&gt;=K72,I72&lt;=L72),"Yes","No")</f>
        <v>Yes</v>
      </c>
      <c r="N72" s="34">
        <f>IF(L72=0,"",I72/L72)</f>
        <v>0.3333333333</v>
      </c>
      <c r="O72" s="33" t="n">
        <v>0</v>
      </c>
      <c r="P72" t="inlineStr">
        <is>
          <t>Benson Hospital</t>
        </is>
      </c>
      <c r="Q72" t="inlineStr">
        <is>
          <t>F. Gbato</t>
        </is>
      </c>
    </row>
    <row r="73">
      <c r="A73" t="inlineStr">
        <is>
          <t>WQ-2026-00070</t>
        </is>
      </c>
      <c r="B73" s="32" t="n">
        <v>46071</v>
      </c>
      <c r="C73" s="33">
        <f>MONTH(B73)</f>
        <v>2</v>
      </c>
      <c r="D73" t="inlineStr">
        <is>
          <t>Margibi</t>
        </is>
      </c>
      <c r="E73" t="inlineStr">
        <is>
          <t>Kakata - Hand-Dug Well</t>
        </is>
      </c>
      <c r="F73" t="inlineStr">
        <is>
          <t>Hand-Dug Well</t>
        </is>
      </c>
      <c r="G73" t="inlineStr">
        <is>
          <t>Water</t>
        </is>
      </c>
      <c r="H73" t="inlineStr">
        <is>
          <t>E. coli</t>
        </is>
      </c>
      <c r="I73" t="n">
        <v>0</v>
      </c>
      <c r="J73" t="inlineStr">
        <is>
          <t>CFU/100 mL</t>
        </is>
      </c>
      <c r="K73" t="n">
        <v>0</v>
      </c>
      <c r="L73" t="n">
        <v>0</v>
      </c>
      <c r="M73" t="str">
        <f>IF(AND(I73&gt;=K73,I73&lt;=L73),"Yes","No")</f>
        <v>Yes</v>
      </c>
      <c r="N73" s="34">
        <f>IF(L73=0,"",I73/L73)</f>
        <v/>
      </c>
      <c r="O73" s="33" t="n">
        <v>350</v>
      </c>
      <c r="P73" t="inlineStr">
        <is>
          <t>C.H. Rennie Hospital</t>
        </is>
      </c>
      <c r="Q73" t="inlineStr">
        <is>
          <t>J. Nyeman</t>
        </is>
      </c>
    </row>
    <row r="74">
      <c r="A74" t="inlineStr">
        <is>
          <t>RD-2026-00071</t>
        </is>
      </c>
      <c r="B74" s="32" t="n">
        <v>46059</v>
      </c>
      <c r="C74" s="33">
        <f>MONTH(B74)</f>
        <v>2</v>
      </c>
      <c r="D74" t="inlineStr">
        <is>
          <t>Nimba</t>
        </is>
      </c>
      <c r="E74" t="inlineStr">
        <is>
          <t>Ganta - Dumpsite Perimeter</t>
        </is>
      </c>
      <c r="F74" t="inlineStr">
        <is>
          <t>Dumpsite Perimeter</t>
        </is>
      </c>
      <c r="G74" t="inlineStr">
        <is>
          <t>Ambient Radiation</t>
        </is>
      </c>
      <c r="H74" t="inlineStr">
        <is>
          <t>Gamma Dose Rate</t>
        </is>
      </c>
      <c r="I74" t="n">
        <v>0.27</v>
      </c>
      <c r="J74" t="inlineStr">
        <is>
          <t>uSv/h</t>
        </is>
      </c>
      <c r="K74" t="n">
        <v>0</v>
      </c>
      <c r="L74" t="n">
        <v>0.3</v>
      </c>
      <c r="M74" t="str">
        <f>IF(AND(I74&gt;=K74,I74&lt;=L74),"Yes","No")</f>
        <v>Yes</v>
      </c>
      <c r="N74" s="34">
        <f>IF(L74=0,"",I74/L74)</f>
        <v>0.9</v>
      </c>
      <c r="O74" s="33" t="n">
        <v>0</v>
      </c>
      <c r="P74" t="inlineStr">
        <is>
          <t>Saclepea Health Center</t>
        </is>
      </c>
      <c r="Q74" t="inlineStr">
        <is>
          <t>P. Wleh</t>
        </is>
      </c>
    </row>
    <row r="75">
      <c r="A75" t="inlineStr">
        <is>
          <t>WQ-2026-00072</t>
        </is>
      </c>
      <c r="B75" s="32" t="n">
        <v>46065</v>
      </c>
      <c r="C75" s="33">
        <f>MONTH(B75)</f>
        <v>2</v>
      </c>
      <c r="D75" t="inlineStr">
        <is>
          <t>Montserrado</t>
        </is>
      </c>
      <c r="E75" t="inlineStr">
        <is>
          <t>Sinkor - Health Facility Supply</t>
        </is>
      </c>
      <c r="F75" t="inlineStr">
        <is>
          <t>Health Facility Supply</t>
        </is>
      </c>
      <c r="G75" t="inlineStr">
        <is>
          <t>Water</t>
        </is>
      </c>
      <c r="H75" t="inlineStr">
        <is>
          <t>E. coli</t>
        </is>
      </c>
      <c r="I75" t="n">
        <v>0</v>
      </c>
      <c r="J75" t="inlineStr">
        <is>
          <t>CFU/100 mL</t>
        </is>
      </c>
      <c r="K75" t="n">
        <v>0</v>
      </c>
      <c r="L75" t="n">
        <v>0</v>
      </c>
      <c r="M75" t="str">
        <f>IF(AND(I75&gt;=K75,I75&lt;=L75),"Yes","No")</f>
        <v>Yes</v>
      </c>
      <c r="N75" s="34">
        <f>IF(L75=0,"",I75/L75)</f>
        <v/>
      </c>
      <c r="O75" s="33" t="n">
        <v>240</v>
      </c>
      <c r="P75" t="inlineStr">
        <is>
          <t>Redemption Hospital</t>
        </is>
      </c>
      <c r="Q75" t="inlineStr">
        <is>
          <t>A. Kollie</t>
        </is>
      </c>
    </row>
    <row r="76">
      <c r="A76" t="inlineStr">
        <is>
          <t>WQ-2026-00073</t>
        </is>
      </c>
      <c r="B76" s="32" t="n">
        <v>46070</v>
      </c>
      <c r="C76" s="33">
        <f>MONTH(B76)</f>
        <v>2</v>
      </c>
      <c r="D76" t="inlineStr">
        <is>
          <t>Montserrado</t>
        </is>
      </c>
      <c r="E76" t="inlineStr">
        <is>
          <t>Caldwell - Community Borehole</t>
        </is>
      </c>
      <c r="F76" t="inlineStr">
        <is>
          <t>Community Borehole</t>
        </is>
      </c>
      <c r="G76" t="inlineStr">
        <is>
          <t>Water</t>
        </is>
      </c>
      <c r="H76" t="inlineStr">
        <is>
          <t>E. coli</t>
        </is>
      </c>
      <c r="I76" t="n">
        <v>0</v>
      </c>
      <c r="J76" t="inlineStr">
        <is>
          <t>CFU/100 mL</t>
        </is>
      </c>
      <c r="K76" t="n">
        <v>0</v>
      </c>
      <c r="L76" t="n">
        <v>0</v>
      </c>
      <c r="M76" t="str">
        <f>IF(AND(I76&gt;=K76,I76&lt;=L76),"Yes","No")</f>
        <v>Yes</v>
      </c>
      <c r="N76" s="34">
        <f>IF(L76=0,"",I76/L76)</f>
        <v/>
      </c>
      <c r="O76" s="33" t="n">
        <v>120</v>
      </c>
      <c r="P76" t="inlineStr">
        <is>
          <t>Benson Hospital</t>
        </is>
      </c>
      <c r="Q76" t="inlineStr">
        <is>
          <t>F. Gbato</t>
        </is>
      </c>
    </row>
    <row r="77">
      <c r="A77" t="inlineStr">
        <is>
          <t>WQ-2026-00074</t>
        </is>
      </c>
      <c r="B77" s="32" t="n">
        <v>46076</v>
      </c>
      <c r="C77" s="33">
        <f>MONTH(B77)</f>
        <v>2</v>
      </c>
      <c r="D77" t="inlineStr">
        <is>
          <t>Grand Bassa</t>
        </is>
      </c>
      <c r="E77" t="inlineStr">
        <is>
          <t>Owensgrove - River / Stream Intake</t>
        </is>
      </c>
      <c r="F77" t="inlineStr">
        <is>
          <t>River / Stream Intake</t>
        </is>
      </c>
      <c r="G77" t="inlineStr">
        <is>
          <t>Water</t>
        </is>
      </c>
      <c r="H77" t="inlineStr">
        <is>
          <t>Nitrate (as NO3)</t>
        </is>
      </c>
      <c r="I77" t="n">
        <v>4.8</v>
      </c>
      <c r="J77" t="inlineStr">
        <is>
          <t>mg/L</t>
        </is>
      </c>
      <c r="K77" t="n">
        <v>0</v>
      </c>
      <c r="L77" t="n">
        <v>10</v>
      </c>
      <c r="M77" t="str">
        <f>IF(AND(I77&gt;=K77,I77&lt;=L77),"Yes","No")</f>
        <v>Yes</v>
      </c>
      <c r="N77" s="34">
        <f>IF(L77=0,"",I77/L77)</f>
        <v>0.48</v>
      </c>
      <c r="O77" s="33" t="n">
        <v>240</v>
      </c>
      <c r="P77" t="inlineStr">
        <is>
          <t>Edina Health Center</t>
        </is>
      </c>
      <c r="Q77" t="inlineStr">
        <is>
          <t>B. Kpadeh</t>
        </is>
      </c>
    </row>
    <row r="78">
      <c r="A78" t="inlineStr">
        <is>
          <t>WQ-2026-00075</t>
        </is>
      </c>
      <c r="B78" s="32" t="n">
        <v>46079</v>
      </c>
      <c r="C78" s="33">
        <f>MONTH(B78)</f>
        <v>2</v>
      </c>
      <c r="D78" t="inlineStr">
        <is>
          <t>Nimba</t>
        </is>
      </c>
      <c r="E78" t="inlineStr">
        <is>
          <t>Ganta - Public Tap Stand</t>
        </is>
      </c>
      <c r="F78" t="inlineStr">
        <is>
          <t>Public Tap Stand</t>
        </is>
      </c>
      <c r="G78" t="inlineStr">
        <is>
          <t>Water</t>
        </is>
      </c>
      <c r="H78" t="inlineStr">
        <is>
          <t>Iron</t>
        </is>
      </c>
      <c r="I78" t="n">
        <v>0.09</v>
      </c>
      <c r="J78" t="inlineStr">
        <is>
          <t>mg/L</t>
        </is>
      </c>
      <c r="K78" t="n">
        <v>0</v>
      </c>
      <c r="L78" t="n">
        <v>0.3</v>
      </c>
      <c r="M78" t="str">
        <f>IF(AND(I78&gt;=K78,I78&lt;=L78),"Yes","No")</f>
        <v>Yes</v>
      </c>
      <c r="N78" s="34">
        <f>IF(L78=0,"",I78/L78)</f>
        <v>0.3</v>
      </c>
      <c r="O78" s="33" t="n">
        <v>1800</v>
      </c>
      <c r="P78" t="inlineStr">
        <is>
          <t>Saclepea Health Center</t>
        </is>
      </c>
      <c r="Q78" t="inlineStr">
        <is>
          <t>F. Gbato</t>
        </is>
      </c>
    </row>
    <row r="79">
      <c r="A79" t="inlineStr">
        <is>
          <t>AQ-2026-00076</t>
        </is>
      </c>
      <c r="B79" s="32" t="n">
        <v>46072</v>
      </c>
      <c r="C79" s="33">
        <f>MONTH(B79)</f>
        <v>2</v>
      </c>
      <c r="D79" t="inlineStr">
        <is>
          <t>Bong</t>
        </is>
      </c>
      <c r="E79" t="inlineStr">
        <is>
          <t>Buchanan Port Terminal</t>
        </is>
      </c>
      <c r="F79" t="inlineStr">
        <is>
          <t>Industrial Perimeter</t>
        </is>
      </c>
      <c r="G79" t="inlineStr">
        <is>
          <t>Air</t>
        </is>
      </c>
      <c r="H79" t="inlineStr">
        <is>
          <t>PM10</t>
        </is>
      </c>
      <c r="I79" t="n">
        <v>21.6</v>
      </c>
      <c r="J79" t="inlineStr">
        <is>
          <t>ug/m3</t>
        </is>
      </c>
      <c r="K79" t="n">
        <v>0</v>
      </c>
      <c r="L79" t="n">
        <v>50</v>
      </c>
      <c r="M79" t="str">
        <f>IF(AND(I79&gt;=K79,I79&lt;=L79),"Yes","No")</f>
        <v>Yes</v>
      </c>
      <c r="N79" s="34">
        <f>IF(L79=0,"",I79/L79)</f>
        <v>0.432</v>
      </c>
      <c r="O79" s="33" t="n">
        <v>2200</v>
      </c>
      <c r="P79" t="inlineStr">
        <is>
          <t>Gbarnga Health Center</t>
        </is>
      </c>
      <c r="Q79" t="inlineStr">
        <is>
          <t>T. Mulbah</t>
        </is>
      </c>
    </row>
    <row r="80">
      <c r="A80" t="inlineStr">
        <is>
          <t>RD-2026-00077</t>
        </is>
      </c>
      <c r="B80" s="32" t="n">
        <v>46056</v>
      </c>
      <c r="C80" s="33">
        <f>MONTH(B80)</f>
        <v>2</v>
      </c>
      <c r="D80" t="inlineStr">
        <is>
          <t>Lofa</t>
        </is>
      </c>
      <c r="E80" t="inlineStr">
        <is>
          <t>Kolahun - Industrial Site</t>
        </is>
      </c>
      <c r="F80" t="inlineStr">
        <is>
          <t>Industrial Site</t>
        </is>
      </c>
      <c r="G80" t="inlineStr">
        <is>
          <t>Ambient Radiation</t>
        </is>
      </c>
      <c r="H80" t="inlineStr">
        <is>
          <t>Gamma Dose Rate</t>
        </is>
      </c>
      <c r="I80" t="n">
        <v>0.21</v>
      </c>
      <c r="J80" t="inlineStr">
        <is>
          <t>uSv/h</t>
        </is>
      </c>
      <c r="K80" t="n">
        <v>0</v>
      </c>
      <c r="L80" t="n">
        <v>0.3</v>
      </c>
      <c r="M80" t="str">
        <f>IF(AND(I80&gt;=K80,I80&lt;=L80),"Yes","No")</f>
        <v>Yes</v>
      </c>
      <c r="N80" s="34">
        <f>IF(L80=0,"",I80/L80)</f>
        <v>0.7</v>
      </c>
      <c r="O80" s="33" t="n">
        <v>0</v>
      </c>
      <c r="P80" t="inlineStr">
        <is>
          <t>Foya Health Center</t>
        </is>
      </c>
      <c r="Q80" t="inlineStr">
        <is>
          <t>S. Dolo</t>
        </is>
      </c>
    </row>
    <row r="81">
      <c r="A81" t="inlineStr">
        <is>
          <t>AQ-2026-00078</t>
        </is>
      </c>
      <c r="B81" s="32" t="n">
        <v>46079</v>
      </c>
      <c r="C81" s="33">
        <f>MONTH(B81)</f>
        <v>2</v>
      </c>
      <c r="D81" t="inlineStr">
        <is>
          <t>Montserrado</t>
        </is>
      </c>
      <c r="E81" t="inlineStr">
        <is>
          <t>Firestone Rubber Plantation</t>
        </is>
      </c>
      <c r="F81" t="inlineStr">
        <is>
          <t>Industrial Perimeter</t>
        </is>
      </c>
      <c r="G81" t="inlineStr">
        <is>
          <t>Air</t>
        </is>
      </c>
      <c r="H81" t="inlineStr">
        <is>
          <t>PM10</t>
        </is>
      </c>
      <c r="I81" t="n">
        <v>86.7</v>
      </c>
      <c r="J81" t="inlineStr">
        <is>
          <t>ug/m3</t>
        </is>
      </c>
      <c r="K81" t="n">
        <v>0</v>
      </c>
      <c r="L81" t="n">
        <v>50</v>
      </c>
      <c r="M81" t="str">
        <f>IF(AND(I81&gt;=K81,I81&lt;=L81),"Yes","No")</f>
        <v>No</v>
      </c>
      <c r="N81" s="34">
        <f>IF(L81=0,"",I81/L81)</f>
        <v>1.734</v>
      </c>
      <c r="O81" s="33" t="n">
        <v>800</v>
      </c>
      <c r="P81" t="inlineStr">
        <is>
          <t>St. Joseph's Catholic Hospital</t>
        </is>
      </c>
      <c r="Q81" t="inlineStr">
        <is>
          <t>P. Wleh</t>
        </is>
      </c>
    </row>
    <row r="82">
      <c r="A82" t="inlineStr">
        <is>
          <t>WQ-2026-00079</t>
        </is>
      </c>
      <c r="B82" s="32" t="n">
        <v>46065</v>
      </c>
      <c r="C82" s="33">
        <f>MONTH(B82)</f>
        <v>2</v>
      </c>
      <c r="D82" t="inlineStr">
        <is>
          <t>Bomi</t>
        </is>
      </c>
      <c r="E82" t="inlineStr">
        <is>
          <t>Klay - Health Facility Supply</t>
        </is>
      </c>
      <c r="F82" t="inlineStr">
        <is>
          <t>Health Facility Supply</t>
        </is>
      </c>
      <c r="G82" t="inlineStr">
        <is>
          <t>Water</t>
        </is>
      </c>
      <c r="H82" t="inlineStr">
        <is>
          <t>E. coli</t>
        </is>
      </c>
      <c r="I82" t="n">
        <v>0</v>
      </c>
      <c r="J82" t="inlineStr">
        <is>
          <t>CFU/100 mL</t>
        </is>
      </c>
      <c r="K82" t="n">
        <v>0</v>
      </c>
      <c r="L82" t="n">
        <v>0</v>
      </c>
      <c r="M82" t="str">
        <f>IF(AND(I82&gt;=K82,I82&lt;=L82),"Yes","No")</f>
        <v>Yes</v>
      </c>
      <c r="N82" s="34">
        <f>IF(L82=0,"",I82/L82)</f>
        <v/>
      </c>
      <c r="O82" s="33" t="n">
        <v>900</v>
      </c>
      <c r="P82" t="inlineStr">
        <is>
          <t>Klay Clinic</t>
        </is>
      </c>
      <c r="Q82" t="inlineStr">
        <is>
          <t>S. Dolo</t>
        </is>
      </c>
    </row>
    <row r="83">
      <c r="A83" t="inlineStr">
        <is>
          <t>WQ-2026-00080</t>
        </is>
      </c>
      <c r="B83" s="32" t="n">
        <v>46065</v>
      </c>
      <c r="C83" s="33">
        <f>MONTH(B83)</f>
        <v>2</v>
      </c>
      <c r="D83" t="inlineStr">
        <is>
          <t>Lofa</t>
        </is>
      </c>
      <c r="E83" t="inlineStr">
        <is>
          <t>Foya - Health Facility Supply</t>
        </is>
      </c>
      <c r="F83" t="inlineStr">
        <is>
          <t>Health Facility Supply</t>
        </is>
      </c>
      <c r="G83" t="inlineStr">
        <is>
          <t>Water</t>
        </is>
      </c>
      <c r="H83" t="inlineStr">
        <is>
          <t>Nitrate (as NO3)</t>
        </is>
      </c>
      <c r="I83" t="n">
        <v>5.7</v>
      </c>
      <c r="J83" t="inlineStr">
        <is>
          <t>mg/L</t>
        </is>
      </c>
      <c r="K83" t="n">
        <v>0</v>
      </c>
      <c r="L83" t="n">
        <v>10</v>
      </c>
      <c r="M83" t="str">
        <f>IF(AND(I83&gt;=K83,I83&lt;=L83),"Yes","No")</f>
        <v>Yes</v>
      </c>
      <c r="N83" s="34">
        <f>IF(L83=0,"",I83/L83)</f>
        <v>0.57</v>
      </c>
      <c r="O83" s="33" t="n">
        <v>240</v>
      </c>
      <c r="P83" t="inlineStr">
        <is>
          <t>Zorzor Hospital</t>
        </is>
      </c>
      <c r="Q83" t="inlineStr">
        <is>
          <t>M. Toe</t>
        </is>
      </c>
    </row>
    <row r="84">
      <c r="A84" t="inlineStr">
        <is>
          <t>WQ-2026-00081</t>
        </is>
      </c>
      <c r="B84" s="32" t="n">
        <v>46074</v>
      </c>
      <c r="C84" s="33">
        <f>MONTH(B84)</f>
        <v>2</v>
      </c>
      <c r="D84" t="inlineStr">
        <is>
          <t>Bong</t>
        </is>
      </c>
      <c r="E84" t="inlineStr">
        <is>
          <t>Salala - River / Stream Intake</t>
        </is>
      </c>
      <c r="F84" t="inlineStr">
        <is>
          <t>River / Stream Intake</t>
        </is>
      </c>
      <c r="G84" t="inlineStr">
        <is>
          <t>Water</t>
        </is>
      </c>
      <c r="H84" t="inlineStr">
        <is>
          <t>Nitrate (as NO3)</t>
        </is>
      </c>
      <c r="I84" t="n">
        <v>9.1</v>
      </c>
      <c r="J84" t="inlineStr">
        <is>
          <t>mg/L</t>
        </is>
      </c>
      <c r="K84" t="n">
        <v>0</v>
      </c>
      <c r="L84" t="n">
        <v>10</v>
      </c>
      <c r="M84" t="str">
        <f>IF(AND(I84&gt;=K84,I84&lt;=L84),"Yes","No")</f>
        <v>Yes</v>
      </c>
      <c r="N84" s="34">
        <f>IF(L84=0,"",I84/L84)</f>
        <v>0.91</v>
      </c>
      <c r="O84" s="33" t="n">
        <v>500</v>
      </c>
      <c r="P84" t="inlineStr">
        <is>
          <t>Gbarnga Health Center</t>
        </is>
      </c>
      <c r="Q84" t="inlineStr">
        <is>
          <t>A. Kollie</t>
        </is>
      </c>
    </row>
    <row r="85">
      <c r="A85" t="inlineStr">
        <is>
          <t>AQ-2026-00082</t>
        </is>
      </c>
      <c r="B85" s="32" t="n">
        <v>46066</v>
      </c>
      <c r="C85" s="33">
        <f>MONTH(B85)</f>
        <v>2</v>
      </c>
      <c r="D85" t="inlineStr">
        <is>
          <t>Margibi</t>
        </is>
      </c>
      <c r="E85" t="inlineStr">
        <is>
          <t>Weala - Industrial Perimeter</t>
        </is>
      </c>
      <c r="F85" t="inlineStr">
        <is>
          <t>Industrial Perimeter</t>
        </is>
      </c>
      <c r="G85" t="inlineStr">
        <is>
          <t>Air</t>
        </is>
      </c>
      <c r="H85" t="inlineStr">
        <is>
          <t>Sulphur Dioxide (SO2)</t>
        </is>
      </c>
      <c r="I85" t="n">
        <v>243</v>
      </c>
      <c r="J85" t="inlineStr">
        <is>
          <t>ug/m3</t>
        </is>
      </c>
      <c r="K85" t="n">
        <v>0</v>
      </c>
      <c r="L85" t="n">
        <v>125</v>
      </c>
      <c r="M85" t="str">
        <f>IF(AND(I85&gt;=K85,I85&lt;=L85),"Yes","No")</f>
        <v>No</v>
      </c>
      <c r="N85" s="34">
        <f>IF(L85=0,"",I85/L85)</f>
        <v>1.944</v>
      </c>
      <c r="O85" s="33" t="n">
        <v>800</v>
      </c>
      <c r="P85" t="inlineStr">
        <is>
          <t>Harbel Health Center</t>
        </is>
      </c>
      <c r="Q85" t="inlineStr">
        <is>
          <t>A. Kollie</t>
        </is>
      </c>
    </row>
    <row r="86">
      <c r="A86" t="inlineStr">
        <is>
          <t>AQ-2026-00083</t>
        </is>
      </c>
      <c r="B86" s="32" t="n">
        <v>46074</v>
      </c>
      <c r="C86" s="33">
        <f>MONTH(B86)</f>
        <v>2</v>
      </c>
      <c r="D86" t="inlineStr">
        <is>
          <t>Bong</t>
        </is>
      </c>
      <c r="E86" t="inlineStr">
        <is>
          <t>Firestone Rubber Plantation</t>
        </is>
      </c>
      <c r="F86" t="inlineStr">
        <is>
          <t>Industrial Perimeter</t>
        </is>
      </c>
      <c r="G86" t="inlineStr">
        <is>
          <t>Air</t>
        </is>
      </c>
      <c r="H86" t="inlineStr">
        <is>
          <t>PM2.5</t>
        </is>
      </c>
      <c r="I86" t="n">
        <v>11.1</v>
      </c>
      <c r="J86" t="inlineStr">
        <is>
          <t>ug/m3</t>
        </is>
      </c>
      <c r="K86" t="n">
        <v>0</v>
      </c>
      <c r="L86" t="n">
        <v>25</v>
      </c>
      <c r="M86" t="str">
        <f>IF(AND(I86&gt;=K86,I86&lt;=L86),"Yes","No")</f>
        <v>Yes</v>
      </c>
      <c r="N86" s="34">
        <f>IF(L86=0,"",I86/L86)</f>
        <v>0.444</v>
      </c>
      <c r="O86" s="33" t="n">
        <v>3500</v>
      </c>
      <c r="P86" t="inlineStr">
        <is>
          <t>Gbarnga Health Center</t>
        </is>
      </c>
      <c r="Q86" t="inlineStr">
        <is>
          <t>J. Nyeman</t>
        </is>
      </c>
    </row>
    <row r="87">
      <c r="A87" t="inlineStr">
        <is>
          <t>WQ-2026-00084</t>
        </is>
      </c>
      <c r="B87" s="32" t="n">
        <v>46079</v>
      </c>
      <c r="C87" s="33">
        <f>MONTH(B87)</f>
        <v>2</v>
      </c>
      <c r="D87" t="inlineStr">
        <is>
          <t>Montserrado</t>
        </is>
      </c>
      <c r="E87" t="inlineStr">
        <is>
          <t>Sinkor - Health Facility Supply</t>
        </is>
      </c>
      <c r="F87" t="inlineStr">
        <is>
          <t>Health Facility Supply</t>
        </is>
      </c>
      <c r="G87" t="inlineStr">
        <is>
          <t>Water</t>
        </is>
      </c>
      <c r="H87" t="inlineStr">
        <is>
          <t>Arsenic</t>
        </is>
      </c>
      <c r="I87" t="n">
        <v>0.0078</v>
      </c>
      <c r="J87" t="inlineStr">
        <is>
          <t>mg/L</t>
        </is>
      </c>
      <c r="K87" t="n">
        <v>0</v>
      </c>
      <c r="L87" t="n">
        <v>0.01</v>
      </c>
      <c r="M87" t="str">
        <f>IF(AND(I87&gt;=K87,I87&lt;=L87),"Yes","No")</f>
        <v>Yes</v>
      </c>
      <c r="N87" s="34">
        <f>IF(L87=0,"",I87/L87)</f>
        <v>0.78</v>
      </c>
      <c r="O87" s="33" t="n">
        <v>1800</v>
      </c>
      <c r="P87" t="inlineStr">
        <is>
          <t>JFK Memorial Hospital</t>
        </is>
      </c>
      <c r="Q87" t="inlineStr">
        <is>
          <t>P. Wleh</t>
        </is>
      </c>
    </row>
    <row r="88">
      <c r="A88" t="inlineStr">
        <is>
          <t>AQ-2026-00085</t>
        </is>
      </c>
      <c r="B88" s="32" t="n">
        <v>46077</v>
      </c>
      <c r="C88" s="33">
        <f>MONTH(B88)</f>
        <v>2</v>
      </c>
      <c r="D88" t="inlineStr">
        <is>
          <t>Grand Bassa</t>
        </is>
      </c>
      <c r="E88" t="inlineStr">
        <is>
          <t>Golden Veroleum Palm Oil</t>
        </is>
      </c>
      <c r="F88" t="inlineStr">
        <is>
          <t>Industrial Perimeter</t>
        </is>
      </c>
      <c r="G88" t="inlineStr">
        <is>
          <t>Air</t>
        </is>
      </c>
      <c r="H88" t="inlineStr">
        <is>
          <t>PM10</t>
        </is>
      </c>
      <c r="I88" t="n">
        <v>10</v>
      </c>
      <c r="J88" t="inlineStr">
        <is>
          <t>ug/m3</t>
        </is>
      </c>
      <c r="K88" t="n">
        <v>0</v>
      </c>
      <c r="L88" t="n">
        <v>50</v>
      </c>
      <c r="M88" t="str">
        <f>IF(AND(I88&gt;=K88,I88&lt;=L88),"Yes","No")</f>
        <v>Yes</v>
      </c>
      <c r="N88" s="34">
        <f>IF(L88=0,"",I88/L88)</f>
        <v>0.2</v>
      </c>
      <c r="O88" s="33" t="n">
        <v>3500</v>
      </c>
      <c r="P88" t="inlineStr">
        <is>
          <t>Buchanan Government Hospital</t>
        </is>
      </c>
      <c r="Q88" t="inlineStr">
        <is>
          <t>F. Gbato</t>
        </is>
      </c>
    </row>
    <row r="89">
      <c r="A89" t="inlineStr">
        <is>
          <t>SL-2026-00086</t>
        </is>
      </c>
      <c r="B89" s="32" t="n">
        <v>46076</v>
      </c>
      <c r="C89" s="33">
        <f>MONTH(B89)</f>
        <v>2</v>
      </c>
      <c r="D89" t="inlineStr">
        <is>
          <t>Montserrado</t>
        </is>
      </c>
      <c r="E89" t="inlineStr">
        <is>
          <t>Paynesville - Playground</t>
        </is>
      </c>
      <c r="F89" t="inlineStr">
        <is>
          <t>Playground</t>
        </is>
      </c>
      <c r="G89" t="inlineStr">
        <is>
          <t>Soil</t>
        </is>
      </c>
      <c r="H89" t="inlineStr">
        <is>
          <t>Mercury</t>
        </is>
      </c>
      <c r="I89" t="n">
        <v>0.6</v>
      </c>
      <c r="J89" t="inlineStr">
        <is>
          <t>mg/kg</t>
        </is>
      </c>
      <c r="K89" t="n">
        <v>0</v>
      </c>
      <c r="L89" t="n">
        <v>1</v>
      </c>
      <c r="M89" t="str">
        <f>IF(AND(I89&gt;=K89,I89&lt;=L89),"Yes","No")</f>
        <v>Yes</v>
      </c>
      <c r="N89" s="34">
        <f>IF(L89=0,"",I89/L89)</f>
        <v>0.6</v>
      </c>
      <c r="O89" s="33" t="n">
        <v>200</v>
      </c>
      <c r="P89" t="inlineStr">
        <is>
          <t>Redemption Hospital</t>
        </is>
      </c>
      <c r="Q89" t="inlineStr">
        <is>
          <t>M. Toe</t>
        </is>
      </c>
    </row>
    <row r="90">
      <c r="A90" t="inlineStr">
        <is>
          <t>WQ-2026-00087</t>
        </is>
      </c>
      <c r="B90" s="32" t="n">
        <v>46073</v>
      </c>
      <c r="C90" s="33">
        <f>MONTH(B90)</f>
        <v>2</v>
      </c>
      <c r="D90" t="inlineStr">
        <is>
          <t>Nimba</t>
        </is>
      </c>
      <c r="E90" t="inlineStr">
        <is>
          <t>Tappita - Public Tap Stand</t>
        </is>
      </c>
      <c r="F90" t="inlineStr">
        <is>
          <t>Public Tap Stand</t>
        </is>
      </c>
      <c r="G90" t="inlineStr">
        <is>
          <t>Water</t>
        </is>
      </c>
      <c r="H90" t="inlineStr">
        <is>
          <t>E. coli</t>
        </is>
      </c>
      <c r="I90" t="n">
        <v>0</v>
      </c>
      <c r="J90" t="inlineStr">
        <is>
          <t>CFU/100 mL</t>
        </is>
      </c>
      <c r="K90" t="n">
        <v>0</v>
      </c>
      <c r="L90" t="n">
        <v>0</v>
      </c>
      <c r="M90" t="str">
        <f>IF(AND(I90&gt;=K90,I90&lt;=L90),"Yes","No")</f>
        <v>Yes</v>
      </c>
      <c r="N90" s="34">
        <f>IF(L90=0,"",I90/L90)</f>
        <v/>
      </c>
      <c r="O90" s="33" t="n">
        <v>1800</v>
      </c>
      <c r="P90" t="inlineStr">
        <is>
          <t>Tappita Referral Hospital</t>
        </is>
      </c>
      <c r="Q90" t="inlineStr">
        <is>
          <t>F. Gbato</t>
        </is>
      </c>
    </row>
    <row r="91">
      <c r="A91" t="inlineStr">
        <is>
          <t>SL-2026-00088</t>
        </is>
      </c>
      <c r="B91" s="32" t="n">
        <v>46060</v>
      </c>
      <c r="C91" s="33">
        <f>MONTH(B91)</f>
        <v>2</v>
      </c>
      <c r="D91" t="inlineStr">
        <is>
          <t>Grand Cape Mount</t>
        </is>
      </c>
      <c r="E91" t="inlineStr">
        <is>
          <t>Tieni - School Grounds</t>
        </is>
      </c>
      <c r="F91" t="inlineStr">
        <is>
          <t>School Grounds</t>
        </is>
      </c>
      <c r="G91" t="inlineStr">
        <is>
          <t>Soil</t>
        </is>
      </c>
      <c r="H91" t="inlineStr">
        <is>
          <t>Lead</t>
        </is>
      </c>
      <c r="I91" t="n">
        <v>31</v>
      </c>
      <c r="J91" t="inlineStr">
        <is>
          <t>mg/kg</t>
        </is>
      </c>
      <c r="K91" t="n">
        <v>0</v>
      </c>
      <c r="L91" t="n">
        <v>100</v>
      </c>
      <c r="M91" t="str">
        <f>IF(AND(I91&gt;=K91,I91&lt;=L91),"Yes","No")</f>
        <v>Yes</v>
      </c>
      <c r="N91" s="34">
        <f>IF(L91=0,"",I91/L91)</f>
        <v>0.31</v>
      </c>
      <c r="O91" s="33" t="n">
        <v>800</v>
      </c>
      <c r="P91" t="inlineStr">
        <is>
          <t>Sinje Health Center</t>
        </is>
      </c>
      <c r="Q91" t="inlineStr">
        <is>
          <t>J. Nyeman</t>
        </is>
      </c>
    </row>
    <row r="92">
      <c r="A92" t="inlineStr">
        <is>
          <t>WQ-2026-00089</t>
        </is>
      </c>
      <c r="B92" s="32" t="n">
        <v>46073</v>
      </c>
      <c r="C92" s="33">
        <f>MONTH(B92)</f>
        <v>2</v>
      </c>
      <c r="D92" t="inlineStr">
        <is>
          <t>Montserrado</t>
        </is>
      </c>
      <c r="E92" t="inlineStr">
        <is>
          <t>Caldwell - Public Tap Stand</t>
        </is>
      </c>
      <c r="F92" t="inlineStr">
        <is>
          <t>Public Tap Stand</t>
        </is>
      </c>
      <c r="G92" t="inlineStr">
        <is>
          <t>Water</t>
        </is>
      </c>
      <c r="H92" t="inlineStr">
        <is>
          <t>Nitrate (as NO3)</t>
        </is>
      </c>
      <c r="I92" t="n">
        <v>7.1</v>
      </c>
      <c r="J92" t="inlineStr">
        <is>
          <t>mg/L</t>
        </is>
      </c>
      <c r="K92" t="n">
        <v>0</v>
      </c>
      <c r="L92" t="n">
        <v>10</v>
      </c>
      <c r="M92" t="str">
        <f>IF(AND(I92&gt;=K92,I92&lt;=L92),"Yes","No")</f>
        <v>Yes</v>
      </c>
      <c r="N92" s="34">
        <f>IF(L92=0,"",I92/L92)</f>
        <v>0.71</v>
      </c>
      <c r="O92" s="33" t="n">
        <v>4200</v>
      </c>
      <c r="P92" t="inlineStr">
        <is>
          <t>Benson Hospital</t>
        </is>
      </c>
      <c r="Q92" t="inlineStr">
        <is>
          <t>A. Kollie</t>
        </is>
      </c>
    </row>
    <row r="93">
      <c r="A93" t="inlineStr">
        <is>
          <t>WQ-2026-00090</t>
        </is>
      </c>
      <c r="B93" s="32" t="n">
        <v>46080</v>
      </c>
      <c r="C93" s="33">
        <f>MONTH(B93)</f>
        <v>2</v>
      </c>
      <c r="D93" t="inlineStr">
        <is>
          <t>Lofa</t>
        </is>
      </c>
      <c r="E93" t="inlineStr">
        <is>
          <t>Zorzor - School Water Point</t>
        </is>
      </c>
      <c r="F93" t="inlineStr">
        <is>
          <t>School Water Point</t>
        </is>
      </c>
      <c r="G93" t="inlineStr">
        <is>
          <t>Water</t>
        </is>
      </c>
      <c r="H93" t="inlineStr">
        <is>
          <t>Manganese</t>
        </is>
      </c>
      <c r="I93" t="n">
        <v>0.03</v>
      </c>
      <c r="J93" t="inlineStr">
        <is>
          <t>mg/L</t>
        </is>
      </c>
      <c r="K93" t="n">
        <v>0</v>
      </c>
      <c r="L93" t="n">
        <v>0.4</v>
      </c>
      <c r="M93" t="str">
        <f>IF(AND(I93&gt;=K93,I93&lt;=L93),"Yes","No")</f>
        <v>Yes</v>
      </c>
      <c r="N93" s="34">
        <f>IF(L93=0,"",I93/L93)</f>
        <v>0.075</v>
      </c>
      <c r="O93" s="33" t="n">
        <v>750</v>
      </c>
      <c r="P93" t="inlineStr">
        <is>
          <t>Foya Health Center</t>
        </is>
      </c>
      <c r="Q93" t="inlineStr">
        <is>
          <t>M. Toe</t>
        </is>
      </c>
    </row>
    <row r="94">
      <c r="A94" t="inlineStr">
        <is>
          <t>WQ-2026-00091</t>
        </is>
      </c>
      <c r="B94" s="32" t="n">
        <v>46078</v>
      </c>
      <c r="C94" s="33">
        <f>MONTH(B94)</f>
        <v>2</v>
      </c>
      <c r="D94" t="inlineStr">
        <is>
          <t>Sinoe</t>
        </is>
      </c>
      <c r="E94" t="inlineStr">
        <is>
          <t>Butaw - River / Stream Intake</t>
        </is>
      </c>
      <c r="F94" t="inlineStr">
        <is>
          <t>River / Stream Intake</t>
        </is>
      </c>
      <c r="G94" t="inlineStr">
        <is>
          <t>Water</t>
        </is>
      </c>
      <c r="H94" t="inlineStr">
        <is>
          <t>Turbidity</t>
        </is>
      </c>
      <c r="I94" t="n">
        <v>3.1</v>
      </c>
      <c r="J94" t="inlineStr">
        <is>
          <t>NTU</t>
        </is>
      </c>
      <c r="K94" t="n">
        <v>0</v>
      </c>
      <c r="L94" t="n">
        <v>5</v>
      </c>
      <c r="M94" t="str">
        <f>IF(AND(I94&gt;=K94,I94&lt;=L94),"Yes","No")</f>
        <v>Yes</v>
      </c>
      <c r="N94" s="34">
        <f>IF(L94=0,"",I94/L94)</f>
        <v>0.62</v>
      </c>
      <c r="O94" s="33" t="n">
        <v>120</v>
      </c>
      <c r="P94" t="inlineStr">
        <is>
          <t>Greenville Health Center</t>
        </is>
      </c>
      <c r="Q94" t="inlineStr">
        <is>
          <t>P. Wleh</t>
        </is>
      </c>
    </row>
    <row r="95">
      <c r="A95" t="inlineStr">
        <is>
          <t>WQ-2026-00092</t>
        </is>
      </c>
      <c r="B95" s="32" t="n">
        <v>46072</v>
      </c>
      <c r="C95" s="33">
        <f>MONTH(B95)</f>
        <v>2</v>
      </c>
      <c r="D95" t="inlineStr">
        <is>
          <t>Montserrado</t>
        </is>
      </c>
      <c r="E95" t="inlineStr">
        <is>
          <t>West Point - Community Borehole</t>
        </is>
      </c>
      <c r="F95" t="inlineStr">
        <is>
          <t>Community Borehole</t>
        </is>
      </c>
      <c r="G95" t="inlineStr">
        <is>
          <t>Water</t>
        </is>
      </c>
      <c r="H95" t="inlineStr">
        <is>
          <t>Nitrate (as NO3)</t>
        </is>
      </c>
      <c r="I95" t="n">
        <v>7.4</v>
      </c>
      <c r="J95" t="inlineStr">
        <is>
          <t>mg/L</t>
        </is>
      </c>
      <c r="K95" t="n">
        <v>0</v>
      </c>
      <c r="L95" t="n">
        <v>10</v>
      </c>
      <c r="M95" t="str">
        <f>IF(AND(I95&gt;=K95,I95&lt;=L95),"Yes","No")</f>
        <v>Yes</v>
      </c>
      <c r="N95" s="34">
        <f>IF(L95=0,"",I95/L95)</f>
        <v>0.74</v>
      </c>
      <c r="O95" s="33" t="n">
        <v>2500</v>
      </c>
      <c r="P95" t="inlineStr">
        <is>
          <t>St. Joseph's Catholic Hospital</t>
        </is>
      </c>
      <c r="Q95" t="inlineStr">
        <is>
          <t>M. Toe</t>
        </is>
      </c>
    </row>
    <row r="96">
      <c r="A96" t="inlineStr">
        <is>
          <t>WQ-2026-00093</t>
        </is>
      </c>
      <c r="B96" s="32" t="n">
        <v>46068</v>
      </c>
      <c r="C96" s="33">
        <f>MONTH(B96)</f>
        <v>2</v>
      </c>
      <c r="D96" t="inlineStr">
        <is>
          <t>Montserrado</t>
        </is>
      </c>
      <c r="E96" t="inlineStr">
        <is>
          <t>Johnsonville - School Water Point</t>
        </is>
      </c>
      <c r="F96" t="inlineStr">
        <is>
          <t>School Water Point</t>
        </is>
      </c>
      <c r="G96" t="inlineStr">
        <is>
          <t>Water</t>
        </is>
      </c>
      <c r="H96" t="inlineStr">
        <is>
          <t>Arsenic</t>
        </is>
      </c>
      <c r="I96" t="n">
        <v>0.0007</v>
      </c>
      <c r="J96" t="inlineStr">
        <is>
          <t>mg/L</t>
        </is>
      </c>
      <c r="K96" t="n">
        <v>0</v>
      </c>
      <c r="L96" t="n">
        <v>0.01</v>
      </c>
      <c r="M96" t="str">
        <f>IF(AND(I96&gt;=K96,I96&lt;=L96),"Yes","No")</f>
        <v>Yes</v>
      </c>
      <c r="N96" s="34">
        <f>IF(L96=0,"",I96/L96)</f>
        <v>0.07</v>
      </c>
      <c r="O96" s="33" t="n">
        <v>240</v>
      </c>
      <c r="P96" t="inlineStr">
        <is>
          <t>Redemption Hospital</t>
        </is>
      </c>
      <c r="Q96" t="inlineStr">
        <is>
          <t>S. Dolo</t>
        </is>
      </c>
    </row>
    <row r="97">
      <c r="A97" t="inlineStr">
        <is>
          <t>WQ-2026-00094</t>
        </is>
      </c>
      <c r="B97" s="32" t="n">
        <v>46074</v>
      </c>
      <c r="C97" s="33">
        <f>MONTH(B97)</f>
        <v>2</v>
      </c>
      <c r="D97" t="inlineStr">
        <is>
          <t>Margibi</t>
        </is>
      </c>
      <c r="E97" t="inlineStr">
        <is>
          <t>Dolo Town - River / Stream Intake</t>
        </is>
      </c>
      <c r="F97" t="inlineStr">
        <is>
          <t>River / Stream Intake</t>
        </is>
      </c>
      <c r="G97" t="inlineStr">
        <is>
          <t>Water</t>
        </is>
      </c>
      <c r="H97" t="inlineStr">
        <is>
          <t>Arsenic</t>
        </is>
      </c>
      <c r="I97" t="n">
        <v>0.0069</v>
      </c>
      <c r="J97" t="inlineStr">
        <is>
          <t>mg/L</t>
        </is>
      </c>
      <c r="K97" t="n">
        <v>0</v>
      </c>
      <c r="L97" t="n">
        <v>0.01</v>
      </c>
      <c r="M97" t="str">
        <f>IF(AND(I97&gt;=K97,I97&lt;=L97),"Yes","No")</f>
        <v>Yes</v>
      </c>
      <c r="N97" s="34">
        <f>IF(L97=0,"",I97/L97)</f>
        <v>0.69</v>
      </c>
      <c r="O97" s="33" t="n">
        <v>240</v>
      </c>
      <c r="P97" t="inlineStr">
        <is>
          <t>C.H. Rennie Hospital</t>
        </is>
      </c>
      <c r="Q97" t="inlineStr">
        <is>
          <t>H. Zolia</t>
        </is>
      </c>
    </row>
    <row r="98">
      <c r="A98" t="inlineStr">
        <is>
          <t>WQ-2026-00095</t>
        </is>
      </c>
      <c r="B98" s="32" t="n">
        <v>46068</v>
      </c>
      <c r="C98" s="33">
        <f>MONTH(B98)</f>
        <v>2</v>
      </c>
      <c r="D98" t="inlineStr">
        <is>
          <t>Grand Cape Mount</t>
        </is>
      </c>
      <c r="E98" t="inlineStr">
        <is>
          <t>Sinje - River / Stream Intake</t>
        </is>
      </c>
      <c r="F98" t="inlineStr">
        <is>
          <t>River / Stream Intake</t>
        </is>
      </c>
      <c r="G98" t="inlineStr">
        <is>
          <t>Water</t>
        </is>
      </c>
      <c r="H98" t="inlineStr">
        <is>
          <t>Turbidity</t>
        </is>
      </c>
      <c r="I98" t="n">
        <v>2.8</v>
      </c>
      <c r="J98" t="inlineStr">
        <is>
          <t>NTU</t>
        </is>
      </c>
      <c r="K98" t="n">
        <v>0</v>
      </c>
      <c r="L98" t="n">
        <v>5</v>
      </c>
      <c r="M98" t="str">
        <f>IF(AND(I98&gt;=K98,I98&lt;=L98),"Yes","No")</f>
        <v>Yes</v>
      </c>
      <c r="N98" s="34">
        <f>IF(L98=0,"",I98/L98)</f>
        <v>0.56</v>
      </c>
      <c r="O98" s="33" t="n">
        <v>350</v>
      </c>
      <c r="P98" t="inlineStr">
        <is>
          <t>St. Timothy Hospital</t>
        </is>
      </c>
      <c r="Q98" t="inlineStr">
        <is>
          <t>H. Zolia</t>
        </is>
      </c>
    </row>
    <row r="99">
      <c r="A99" t="inlineStr">
        <is>
          <t>WQ-2026-00096</t>
        </is>
      </c>
      <c r="B99" s="32" t="n">
        <v>46077</v>
      </c>
      <c r="C99" s="33">
        <f>MONTH(B99)</f>
        <v>2</v>
      </c>
      <c r="D99" t="inlineStr">
        <is>
          <t>Montserrado</t>
        </is>
      </c>
      <c r="E99" t="inlineStr">
        <is>
          <t>Paynesville - Community Borehole</t>
        </is>
      </c>
      <c r="F99" t="inlineStr">
        <is>
          <t>Community Borehole</t>
        </is>
      </c>
      <c r="G99" t="inlineStr">
        <is>
          <t>Water</t>
        </is>
      </c>
      <c r="H99" t="inlineStr">
        <is>
          <t>Lead</t>
        </is>
      </c>
      <c r="I99" t="n">
        <v>0.0011</v>
      </c>
      <c r="J99" t="inlineStr">
        <is>
          <t>mg/L</t>
        </is>
      </c>
      <c r="K99" t="n">
        <v>0</v>
      </c>
      <c r="L99" t="n">
        <v>0.01</v>
      </c>
      <c r="M99" t="str">
        <f>IF(AND(I99&gt;=K99,I99&lt;=L99),"Yes","No")</f>
        <v>Yes</v>
      </c>
      <c r="N99" s="34">
        <f>IF(L99=0,"",I99/L99)</f>
        <v>0.11</v>
      </c>
      <c r="O99" s="33" t="n">
        <v>750</v>
      </c>
      <c r="P99" t="inlineStr">
        <is>
          <t>Redemption Hospital</t>
        </is>
      </c>
      <c r="Q99" t="inlineStr">
        <is>
          <t>F. Gbato</t>
        </is>
      </c>
    </row>
    <row r="100">
      <c r="A100" t="inlineStr">
        <is>
          <t>WQ-2026-00097</t>
        </is>
      </c>
      <c r="B100" s="32" t="n">
        <v>46080</v>
      </c>
      <c r="C100" s="33">
        <f>MONTH(B100)</f>
        <v>2</v>
      </c>
      <c r="D100" t="inlineStr">
        <is>
          <t>Grand Bassa</t>
        </is>
      </c>
      <c r="E100" t="inlineStr">
        <is>
          <t>Owensgrove - Health Facility Supply</t>
        </is>
      </c>
      <c r="F100" t="inlineStr">
        <is>
          <t>Health Facility Supply</t>
        </is>
      </c>
      <c r="G100" t="inlineStr">
        <is>
          <t>Water</t>
        </is>
      </c>
      <c r="H100" t="inlineStr">
        <is>
          <t>Total Coliform</t>
        </is>
      </c>
      <c r="I100" t="n">
        <v>41</v>
      </c>
      <c r="J100" t="inlineStr">
        <is>
          <t>CFU/100 mL</t>
        </is>
      </c>
      <c r="K100" t="n">
        <v>0</v>
      </c>
      <c r="L100" t="n">
        <v>0</v>
      </c>
      <c r="M100" t="str">
        <f>IF(AND(I100&gt;=K100,I100&lt;=L100),"Yes","No")</f>
        <v>No</v>
      </c>
      <c r="N100" s="34">
        <f>IF(L100=0,"",I100/L100)</f>
        <v/>
      </c>
      <c r="O100" s="33" t="n">
        <v>240</v>
      </c>
      <c r="P100" t="inlineStr">
        <is>
          <t>Buchanan Government Hospital</t>
        </is>
      </c>
      <c r="Q100" t="inlineStr">
        <is>
          <t>T. Mulbah</t>
        </is>
      </c>
    </row>
    <row r="101">
      <c r="A101" t="inlineStr">
        <is>
          <t>SL-2026-00098</t>
        </is>
      </c>
      <c r="B101" s="32" t="n">
        <v>46064</v>
      </c>
      <c r="C101" s="33">
        <f>MONTH(B101)</f>
        <v>2</v>
      </c>
      <c r="D101" t="inlineStr">
        <is>
          <t>Margibi</t>
        </is>
      </c>
      <c r="E101" t="inlineStr">
        <is>
          <t>Harbel - Playground</t>
        </is>
      </c>
      <c r="F101" t="inlineStr">
        <is>
          <t>Playground</t>
        </is>
      </c>
      <c r="G101" t="inlineStr">
        <is>
          <t>Soil</t>
        </is>
      </c>
      <c r="H101" t="inlineStr">
        <is>
          <t>Cadmium</t>
        </is>
      </c>
      <c r="I101" t="n">
        <v>1.8</v>
      </c>
      <c r="J101" t="inlineStr">
        <is>
          <t>mg/kg</t>
        </is>
      </c>
      <c r="K101" t="n">
        <v>0</v>
      </c>
      <c r="L101" t="n">
        <v>3</v>
      </c>
      <c r="M101" t="str">
        <f>IF(AND(I101&gt;=K101,I101&lt;=L101),"Yes","No")</f>
        <v>Yes</v>
      </c>
      <c r="N101" s="34">
        <f>IF(L101=0,"",I101/L101)</f>
        <v>0.6</v>
      </c>
      <c r="O101" s="33" t="n">
        <v>1500</v>
      </c>
      <c r="P101" t="inlineStr">
        <is>
          <t>Harbel Health Center</t>
        </is>
      </c>
      <c r="Q101" t="inlineStr">
        <is>
          <t>H. Zolia</t>
        </is>
      </c>
    </row>
    <row r="102">
      <c r="A102" t="inlineStr">
        <is>
          <t>WQ-2026-00099</t>
        </is>
      </c>
      <c r="B102" s="32" t="n">
        <v>46066</v>
      </c>
      <c r="C102" s="33">
        <f>MONTH(B102)</f>
        <v>2</v>
      </c>
      <c r="D102" t="inlineStr">
        <is>
          <t>Montserrado</t>
        </is>
      </c>
      <c r="E102" t="inlineStr">
        <is>
          <t>Brewerville - Public Tap Stand</t>
        </is>
      </c>
      <c r="F102" t="inlineStr">
        <is>
          <t>Public Tap Stand</t>
        </is>
      </c>
      <c r="G102" t="inlineStr">
        <is>
          <t>Water</t>
        </is>
      </c>
      <c r="H102" t="inlineStr">
        <is>
          <t>Lead</t>
        </is>
      </c>
      <c r="I102" t="n">
        <v>0.0064</v>
      </c>
      <c r="J102" t="inlineStr">
        <is>
          <t>mg/L</t>
        </is>
      </c>
      <c r="K102" t="n">
        <v>0</v>
      </c>
      <c r="L102" t="n">
        <v>0.01</v>
      </c>
      <c r="M102" t="str">
        <f>IF(AND(I102&gt;=K102,I102&lt;=L102),"Yes","No")</f>
        <v>Yes</v>
      </c>
      <c r="N102" s="34">
        <f>IF(L102=0,"",I102/L102)</f>
        <v>0.64</v>
      </c>
      <c r="O102" s="33" t="n">
        <v>4200</v>
      </c>
      <c r="P102" t="inlineStr">
        <is>
          <t>St. Joseph's Catholic Hospital</t>
        </is>
      </c>
      <c r="Q102" t="inlineStr">
        <is>
          <t>B. Kpadeh</t>
        </is>
      </c>
    </row>
    <row r="103">
      <c r="A103" t="inlineStr">
        <is>
          <t>WQ-2026-00100</t>
        </is>
      </c>
      <c r="B103" s="32" t="n">
        <v>46078</v>
      </c>
      <c r="C103" s="33">
        <f>MONTH(B103)</f>
        <v>2</v>
      </c>
      <c r="D103" t="inlineStr">
        <is>
          <t>Montserrado</t>
        </is>
      </c>
      <c r="E103" t="inlineStr">
        <is>
          <t>West Point - River / Stream Intake</t>
        </is>
      </c>
      <c r="F103" t="inlineStr">
        <is>
          <t>River / Stream Intake</t>
        </is>
      </c>
      <c r="G103" t="inlineStr">
        <is>
          <t>Water</t>
        </is>
      </c>
      <c r="H103" t="inlineStr">
        <is>
          <t>Lead</t>
        </is>
      </c>
      <c r="I103" t="n">
        <v>0.0035</v>
      </c>
      <c r="J103" t="inlineStr">
        <is>
          <t>mg/L</t>
        </is>
      </c>
      <c r="K103" t="n">
        <v>0</v>
      </c>
      <c r="L103" t="n">
        <v>0.01</v>
      </c>
      <c r="M103" t="str">
        <f>IF(AND(I103&gt;=K103,I103&lt;=L103),"Yes","No")</f>
        <v>Yes</v>
      </c>
      <c r="N103" s="34">
        <f>IF(L103=0,"",I103/L103)</f>
        <v>0.35</v>
      </c>
      <c r="O103" s="33" t="n">
        <v>750</v>
      </c>
      <c r="P103" t="inlineStr">
        <is>
          <t>Redemption Hospital</t>
        </is>
      </c>
      <c r="Q103" t="inlineStr">
        <is>
          <t>T. Mulbah</t>
        </is>
      </c>
    </row>
    <row r="104">
      <c r="A104" t="inlineStr">
        <is>
          <t>WQ-2026-00101</t>
        </is>
      </c>
      <c r="B104" s="32" t="n">
        <v>46054</v>
      </c>
      <c r="C104" s="33">
        <f>MONTH(B104)</f>
        <v>2</v>
      </c>
      <c r="D104" t="inlineStr">
        <is>
          <t>Grand Bassa</t>
        </is>
      </c>
      <c r="E104" t="inlineStr">
        <is>
          <t>Owensgrove - River / Stream Intake</t>
        </is>
      </c>
      <c r="F104" t="inlineStr">
        <is>
          <t>River / Stream Intake</t>
        </is>
      </c>
      <c r="G104" t="inlineStr">
        <is>
          <t>Water</t>
        </is>
      </c>
      <c r="H104" t="inlineStr">
        <is>
          <t>Nitrate (as NO3)</t>
        </is>
      </c>
      <c r="I104" t="n">
        <v>6.8</v>
      </c>
      <c r="J104" t="inlineStr">
        <is>
          <t>mg/L</t>
        </is>
      </c>
      <c r="K104" t="n">
        <v>0</v>
      </c>
      <c r="L104" t="n">
        <v>10</v>
      </c>
      <c r="M104" t="str">
        <f>IF(AND(I104&gt;=K104,I104&lt;=L104),"Yes","No")</f>
        <v>Yes</v>
      </c>
      <c r="N104" s="34">
        <f>IF(L104=0,"",I104/L104)</f>
        <v>0.68</v>
      </c>
      <c r="O104" s="33" t="n">
        <v>1800</v>
      </c>
      <c r="P104" t="inlineStr">
        <is>
          <t>Edina Health Center</t>
        </is>
      </c>
      <c r="Q104" t="inlineStr">
        <is>
          <t>P. Wleh</t>
        </is>
      </c>
    </row>
    <row r="105">
      <c r="A105" t="inlineStr">
        <is>
          <t>WQ-2026-00102</t>
        </is>
      </c>
      <c r="B105" s="32" t="n">
        <v>46056</v>
      </c>
      <c r="C105" s="33">
        <f>MONTH(B105)</f>
        <v>2</v>
      </c>
      <c r="D105" t="inlineStr">
        <is>
          <t>Lofa</t>
        </is>
      </c>
      <c r="E105" t="inlineStr">
        <is>
          <t>Foya - Community Borehole</t>
        </is>
      </c>
      <c r="F105" t="inlineStr">
        <is>
          <t>Community Borehole</t>
        </is>
      </c>
      <c r="G105" t="inlineStr">
        <is>
          <t>Water</t>
        </is>
      </c>
      <c r="H105" t="inlineStr">
        <is>
          <t>Total Coliform</t>
        </is>
      </c>
      <c r="I105" t="n">
        <v>0</v>
      </c>
      <c r="J105" t="inlineStr">
        <is>
          <t>CFU/100 mL</t>
        </is>
      </c>
      <c r="K105" t="n">
        <v>0</v>
      </c>
      <c r="L105" t="n">
        <v>0</v>
      </c>
      <c r="M105" t="str">
        <f>IF(AND(I105&gt;=K105,I105&lt;=L105),"Yes","No")</f>
        <v>Yes</v>
      </c>
      <c r="N105" s="34">
        <f>IF(L105=0,"",I105/L105)</f>
        <v/>
      </c>
      <c r="O105" s="33" t="n">
        <v>500</v>
      </c>
      <c r="P105" t="inlineStr">
        <is>
          <t>Foya Health Center</t>
        </is>
      </c>
      <c r="Q105" t="inlineStr">
        <is>
          <t>A. Kollie</t>
        </is>
      </c>
    </row>
    <row r="106">
      <c r="A106" t="inlineStr">
        <is>
          <t>WQ-2026-00103</t>
        </is>
      </c>
      <c r="B106" s="32" t="n">
        <v>46063</v>
      </c>
      <c r="C106" s="33">
        <f>MONTH(B106)</f>
        <v>2</v>
      </c>
      <c r="D106" t="inlineStr">
        <is>
          <t>Montserrado</t>
        </is>
      </c>
      <c r="E106" t="inlineStr">
        <is>
          <t>West Point - Hand-Dug Well</t>
        </is>
      </c>
      <c r="F106" t="inlineStr">
        <is>
          <t>Hand-Dug Well</t>
        </is>
      </c>
      <c r="G106" t="inlineStr">
        <is>
          <t>Water</t>
        </is>
      </c>
      <c r="H106" t="inlineStr">
        <is>
          <t>Iron</t>
        </is>
      </c>
      <c r="I106" t="n">
        <v>0.14</v>
      </c>
      <c r="J106" t="inlineStr">
        <is>
          <t>mg/L</t>
        </is>
      </c>
      <c r="K106" t="n">
        <v>0</v>
      </c>
      <c r="L106" t="n">
        <v>0.3</v>
      </c>
      <c r="M106" t="str">
        <f>IF(AND(I106&gt;=K106,I106&lt;=L106),"Yes","No")</f>
        <v>Yes</v>
      </c>
      <c r="N106" s="34">
        <f>IF(L106=0,"",I106/L106)</f>
        <v>0.4666666667</v>
      </c>
      <c r="O106" s="33" t="n">
        <v>900</v>
      </c>
      <c r="P106" t="inlineStr">
        <is>
          <t>Benson Hospital</t>
        </is>
      </c>
      <c r="Q106" t="inlineStr">
        <is>
          <t>H. Zolia</t>
        </is>
      </c>
    </row>
    <row r="107">
      <c r="A107" t="inlineStr">
        <is>
          <t>AQ-2026-00104</t>
        </is>
      </c>
      <c r="B107" s="32" t="n">
        <v>46079</v>
      </c>
      <c r="C107" s="33">
        <f>MONTH(B107)</f>
        <v>2</v>
      </c>
      <c r="D107" t="inlineStr">
        <is>
          <t>Grand Bassa</t>
        </is>
      </c>
      <c r="E107" t="inlineStr">
        <is>
          <t>Golden Veroleum Palm Oil</t>
        </is>
      </c>
      <c r="F107" t="inlineStr">
        <is>
          <t>Industrial Perimeter</t>
        </is>
      </c>
      <c r="G107" t="inlineStr">
        <is>
          <t>Air</t>
        </is>
      </c>
      <c r="H107" t="inlineStr">
        <is>
          <t>PM2.5</t>
        </is>
      </c>
      <c r="I107" t="n">
        <v>60.4</v>
      </c>
      <c r="J107" t="inlineStr">
        <is>
          <t>ug/m3</t>
        </is>
      </c>
      <c r="K107" t="n">
        <v>0</v>
      </c>
      <c r="L107" t="n">
        <v>25</v>
      </c>
      <c r="M107" t="str">
        <f>IF(AND(I107&gt;=K107,I107&lt;=L107),"Yes","No")</f>
        <v>No</v>
      </c>
      <c r="N107" s="34">
        <f>IF(L107=0,"",I107/L107)</f>
        <v>2.416</v>
      </c>
      <c r="O107" s="33" t="n">
        <v>0</v>
      </c>
      <c r="P107" t="inlineStr">
        <is>
          <t>Edina Health Center</t>
        </is>
      </c>
      <c r="Q107" t="inlineStr">
        <is>
          <t>A. Kollie</t>
        </is>
      </c>
    </row>
    <row r="108">
      <c r="A108" t="inlineStr">
        <is>
          <t>WQ-2026-00105</t>
        </is>
      </c>
      <c r="B108" s="32" t="n">
        <v>46072</v>
      </c>
      <c r="C108" s="33">
        <f>MONTH(B108)</f>
        <v>2</v>
      </c>
      <c r="D108" t="inlineStr">
        <is>
          <t>Maryland</t>
        </is>
      </c>
      <c r="E108" t="inlineStr">
        <is>
          <t>Karloken - School Water Point</t>
        </is>
      </c>
      <c r="F108" t="inlineStr">
        <is>
          <t>School Water Point</t>
        </is>
      </c>
      <c r="G108" t="inlineStr">
        <is>
          <t>Water</t>
        </is>
      </c>
      <c r="H108" t="inlineStr">
        <is>
          <t>Arsenic</t>
        </is>
      </c>
      <c r="I108" t="n">
        <v>0.0239</v>
      </c>
      <c r="J108" t="inlineStr">
        <is>
          <t>mg/L</t>
        </is>
      </c>
      <c r="K108" t="n">
        <v>0</v>
      </c>
      <c r="L108" t="n">
        <v>0.01</v>
      </c>
      <c r="M108" t="str">
        <f>IF(AND(I108&gt;=K108,I108&lt;=L108),"Yes","No")</f>
        <v>No</v>
      </c>
      <c r="N108" s="34">
        <f>IF(L108=0,"",I108/L108)</f>
        <v>2.39</v>
      </c>
      <c r="O108" s="33" t="n">
        <v>2500</v>
      </c>
      <c r="P108" t="inlineStr">
        <is>
          <t>Harper Hospital</t>
        </is>
      </c>
      <c r="Q108" t="inlineStr">
        <is>
          <t>B. Kpadeh</t>
        </is>
      </c>
    </row>
    <row r="109">
      <c r="A109" t="inlineStr">
        <is>
          <t>WQ-2026-00106</t>
        </is>
      </c>
      <c r="B109" s="32" t="n">
        <v>46062</v>
      </c>
      <c r="C109" s="33">
        <f>MONTH(B109)</f>
        <v>2</v>
      </c>
      <c r="D109" t="inlineStr">
        <is>
          <t>Maryland</t>
        </is>
      </c>
      <c r="E109" t="inlineStr">
        <is>
          <t>Pleebo - Public Tap Stand</t>
        </is>
      </c>
      <c r="F109" t="inlineStr">
        <is>
          <t>Public Tap Stand</t>
        </is>
      </c>
      <c r="G109" t="inlineStr">
        <is>
          <t>Water</t>
        </is>
      </c>
      <c r="H109" t="inlineStr">
        <is>
          <t>Nitrate (as NO3)</t>
        </is>
      </c>
      <c r="I109" t="n">
        <v>11.5</v>
      </c>
      <c r="J109" t="inlineStr">
        <is>
          <t>mg/L</t>
        </is>
      </c>
      <c r="K109" t="n">
        <v>0</v>
      </c>
      <c r="L109" t="n">
        <v>10</v>
      </c>
      <c r="M109" t="str">
        <f>IF(AND(I109&gt;=K109,I109&lt;=L109),"Yes","No")</f>
        <v>No</v>
      </c>
      <c r="N109" s="34">
        <f>IF(L109=0,"",I109/L109)</f>
        <v>1.15</v>
      </c>
      <c r="O109" s="33" t="n">
        <v>240</v>
      </c>
      <c r="P109" t="inlineStr">
        <is>
          <t>Pleebo Health Center</t>
        </is>
      </c>
      <c r="Q109" t="inlineStr">
        <is>
          <t>B. Kpadeh</t>
        </is>
      </c>
    </row>
    <row r="110">
      <c r="A110" t="inlineStr">
        <is>
          <t>WQ-2026-00107</t>
        </is>
      </c>
      <c r="B110" s="32" t="n">
        <v>46061</v>
      </c>
      <c r="C110" s="33">
        <f>MONTH(B110)</f>
        <v>2</v>
      </c>
      <c r="D110" t="inlineStr">
        <is>
          <t>Margibi</t>
        </is>
      </c>
      <c r="E110" t="inlineStr">
        <is>
          <t>Firestone - Community Borehole</t>
        </is>
      </c>
      <c r="F110" t="inlineStr">
        <is>
          <t>Community Borehole</t>
        </is>
      </c>
      <c r="G110" t="inlineStr">
        <is>
          <t>Water</t>
        </is>
      </c>
      <c r="H110" t="inlineStr">
        <is>
          <t>Total Coliform</t>
        </is>
      </c>
      <c r="I110" t="n">
        <v>0</v>
      </c>
      <c r="J110" t="inlineStr">
        <is>
          <t>CFU/100 mL</t>
        </is>
      </c>
      <c r="K110" t="n">
        <v>0</v>
      </c>
      <c r="L110" t="n">
        <v>0</v>
      </c>
      <c r="M110" t="str">
        <f>IF(AND(I110&gt;=K110,I110&lt;=L110),"Yes","No")</f>
        <v>Yes</v>
      </c>
      <c r="N110" s="34">
        <f>IF(L110=0,"",I110/L110)</f>
        <v/>
      </c>
      <c r="O110" s="33" t="n">
        <v>1200</v>
      </c>
      <c r="P110" t="inlineStr">
        <is>
          <t>Harbel Health Center</t>
        </is>
      </c>
      <c r="Q110" t="inlineStr">
        <is>
          <t>J. Nyeman</t>
        </is>
      </c>
    </row>
    <row r="111">
      <c r="A111" t="inlineStr">
        <is>
          <t>RD-2026-00108</t>
        </is>
      </c>
      <c r="B111" s="32" t="n">
        <v>46079</v>
      </c>
      <c r="C111" s="33">
        <f>MONTH(B111)</f>
        <v>2</v>
      </c>
      <c r="D111" t="inlineStr">
        <is>
          <t>Nimba</t>
        </is>
      </c>
      <c r="E111" t="inlineStr">
        <is>
          <t>Tappita - Urban Background</t>
        </is>
      </c>
      <c r="F111" t="inlineStr">
        <is>
          <t>Urban Background</t>
        </is>
      </c>
      <c r="G111" t="inlineStr">
        <is>
          <t>Ambient Radiation</t>
        </is>
      </c>
      <c r="H111" t="inlineStr">
        <is>
          <t>Gamma Dose Rate</t>
        </is>
      </c>
      <c r="I111" t="n">
        <v>0.08</v>
      </c>
      <c r="J111" t="inlineStr">
        <is>
          <t>uSv/h</t>
        </is>
      </c>
      <c r="K111" t="n">
        <v>0</v>
      </c>
      <c r="L111" t="n">
        <v>0.3</v>
      </c>
      <c r="M111" t="str">
        <f>IF(AND(I111&gt;=K111,I111&lt;=L111),"Yes","No")</f>
        <v>Yes</v>
      </c>
      <c r="N111" s="34">
        <f>IF(L111=0,"",I111/L111)</f>
        <v>0.2666666667</v>
      </c>
      <c r="O111" s="33" t="n">
        <v>0</v>
      </c>
      <c r="P111" t="inlineStr">
        <is>
          <t>Ganta United Methodist Hospital</t>
        </is>
      </c>
      <c r="Q111" t="inlineStr">
        <is>
          <t>J. Nyeman</t>
        </is>
      </c>
    </row>
    <row r="112">
      <c r="A112" t="inlineStr">
        <is>
          <t>WQ-2026-00109</t>
        </is>
      </c>
      <c r="B112" s="32" t="n">
        <v>46057</v>
      </c>
      <c r="C112" s="33">
        <f>MONTH(B112)</f>
        <v>2</v>
      </c>
      <c r="D112" t="inlineStr">
        <is>
          <t>Grand Gedeh</t>
        </is>
      </c>
      <c r="E112" t="inlineStr">
        <is>
          <t>Toe Town - Community Borehole</t>
        </is>
      </c>
      <c r="F112" t="inlineStr">
        <is>
          <t>Community Borehole</t>
        </is>
      </c>
      <c r="G112" t="inlineStr">
        <is>
          <t>Water</t>
        </is>
      </c>
      <c r="H112" t="inlineStr">
        <is>
          <t>Arsenic</t>
        </is>
      </c>
      <c r="I112" t="n">
        <v>0.0009</v>
      </c>
      <c r="J112" t="inlineStr">
        <is>
          <t>mg/L</t>
        </is>
      </c>
      <c r="K112" t="n">
        <v>0</v>
      </c>
      <c r="L112" t="n">
        <v>0.01</v>
      </c>
      <c r="M112" t="str">
        <f>IF(AND(I112&gt;=K112,I112&lt;=L112),"Yes","No")</f>
        <v>Yes</v>
      </c>
      <c r="N112" s="34">
        <f>IF(L112=0,"",I112/L112)</f>
        <v>0.09</v>
      </c>
      <c r="O112" s="33" t="n">
        <v>350</v>
      </c>
      <c r="P112" t="inlineStr">
        <is>
          <t>Martha Tubman Memorial Hospital</t>
        </is>
      </c>
      <c r="Q112" t="inlineStr">
        <is>
          <t>M. Toe</t>
        </is>
      </c>
    </row>
    <row r="113">
      <c r="A113" t="inlineStr">
        <is>
          <t>AQ-2026-00110</t>
        </is>
      </c>
      <c r="B113" s="32" t="n">
        <v>46074</v>
      </c>
      <c r="C113" s="33">
        <f>MONTH(B113)</f>
        <v>2</v>
      </c>
      <c r="D113" t="inlineStr">
        <is>
          <t>Grand Cape Mount</t>
        </is>
      </c>
      <c r="E113" t="inlineStr">
        <is>
          <t>Sinje - Market Area</t>
        </is>
      </c>
      <c r="F113" t="inlineStr">
        <is>
          <t>Market Area</t>
        </is>
      </c>
      <c r="G113" t="inlineStr">
        <is>
          <t>Air</t>
        </is>
      </c>
      <c r="H113" t="inlineStr">
        <is>
          <t>Nitrogen Dioxide (NO2)</t>
        </is>
      </c>
      <c r="I113" t="n">
        <v>114</v>
      </c>
      <c r="J113" t="inlineStr">
        <is>
          <t>ug/m3</t>
        </is>
      </c>
      <c r="K113" t="n">
        <v>0</v>
      </c>
      <c r="L113" t="n">
        <v>40</v>
      </c>
      <c r="M113" t="str">
        <f>IF(AND(I113&gt;=K113,I113&lt;=L113),"Yes","No")</f>
        <v>No</v>
      </c>
      <c r="N113" s="34">
        <f>IF(L113=0,"",I113/L113)</f>
        <v>2.85</v>
      </c>
      <c r="O113" s="33" t="n">
        <v>1500</v>
      </c>
      <c r="P113" t="inlineStr">
        <is>
          <t>St. Timothy Hospital</t>
        </is>
      </c>
      <c r="Q113" t="inlineStr">
        <is>
          <t>S. Dolo</t>
        </is>
      </c>
    </row>
    <row r="114">
      <c r="A114" t="inlineStr">
        <is>
          <t>WQ-2026-00111</t>
        </is>
      </c>
      <c r="B114" s="32" t="n">
        <v>46062</v>
      </c>
      <c r="C114" s="33">
        <f>MONTH(B114)</f>
        <v>2</v>
      </c>
      <c r="D114" t="inlineStr">
        <is>
          <t>Montserrado</t>
        </is>
      </c>
      <c r="E114" t="inlineStr">
        <is>
          <t>New Kru Town - Public Tap Stand</t>
        </is>
      </c>
      <c r="F114" t="inlineStr">
        <is>
          <t>Public Tap Stand</t>
        </is>
      </c>
      <c r="G114" t="inlineStr">
        <is>
          <t>Water</t>
        </is>
      </c>
      <c r="H114" t="inlineStr">
        <is>
          <t>E. coli</t>
        </is>
      </c>
      <c r="I114" t="n">
        <v>0</v>
      </c>
      <c r="J114" t="inlineStr">
        <is>
          <t>CFU/100 mL</t>
        </is>
      </c>
      <c r="K114" t="n">
        <v>0</v>
      </c>
      <c r="L114" t="n">
        <v>0</v>
      </c>
      <c r="M114" t="str">
        <f>IF(AND(I114&gt;=K114,I114&lt;=L114),"Yes","No")</f>
        <v>Yes</v>
      </c>
      <c r="N114" s="34">
        <f>IF(L114=0,"",I114/L114)</f>
        <v/>
      </c>
      <c r="O114" s="33" t="n">
        <v>350</v>
      </c>
      <c r="P114" t="inlineStr">
        <is>
          <t>JFK Memorial Hospital</t>
        </is>
      </c>
      <c r="Q114" t="inlineStr">
        <is>
          <t>A. Kollie</t>
        </is>
      </c>
    </row>
    <row r="115">
      <c r="A115" t="inlineStr">
        <is>
          <t>SL-2026-00112</t>
        </is>
      </c>
      <c r="B115" s="32" t="n">
        <v>46071</v>
      </c>
      <c r="C115" s="33">
        <f>MONTH(B115)</f>
        <v>2</v>
      </c>
      <c r="D115" t="inlineStr">
        <is>
          <t>Nimba</t>
        </is>
      </c>
      <c r="E115" t="inlineStr">
        <is>
          <t>Karnplay - Industrial Site</t>
        </is>
      </c>
      <c r="F115" t="inlineStr">
        <is>
          <t>Industrial Site</t>
        </is>
      </c>
      <c r="G115" t="inlineStr">
        <is>
          <t>Soil</t>
        </is>
      </c>
      <c r="H115" t="inlineStr">
        <is>
          <t>Lead</t>
        </is>
      </c>
      <c r="I115" t="n">
        <v>55</v>
      </c>
      <c r="J115" t="inlineStr">
        <is>
          <t>mg/kg</t>
        </is>
      </c>
      <c r="K115" t="n">
        <v>0</v>
      </c>
      <c r="L115" t="n">
        <v>100</v>
      </c>
      <c r="M115" t="str">
        <f>IF(AND(I115&gt;=K115,I115&lt;=L115),"Yes","No")</f>
        <v>Yes</v>
      </c>
      <c r="N115" s="34">
        <f>IF(L115=0,"",I115/L115)</f>
        <v>0.55</v>
      </c>
      <c r="O115" s="33" t="n">
        <v>0</v>
      </c>
      <c r="P115" t="inlineStr">
        <is>
          <t>Ganta United Methodist Hospital</t>
        </is>
      </c>
      <c r="Q115" t="inlineStr">
        <is>
          <t>H. Zolia</t>
        </is>
      </c>
    </row>
    <row r="116">
      <c r="A116" t="inlineStr">
        <is>
          <t>WQ-2026-00113</t>
        </is>
      </c>
      <c r="B116" s="32" t="n">
        <v>46078</v>
      </c>
      <c r="C116" s="33">
        <f>MONTH(B116)</f>
        <v>2</v>
      </c>
      <c r="D116" t="inlineStr">
        <is>
          <t>Lofa</t>
        </is>
      </c>
      <c r="E116" t="inlineStr">
        <is>
          <t>Kolahun - River / Stream Intake</t>
        </is>
      </c>
      <c r="F116" t="inlineStr">
        <is>
          <t>River / Stream Intake</t>
        </is>
      </c>
      <c r="G116" t="inlineStr">
        <is>
          <t>Water</t>
        </is>
      </c>
      <c r="H116" t="inlineStr">
        <is>
          <t>E. coli</t>
        </is>
      </c>
      <c r="I116" t="n">
        <v>0</v>
      </c>
      <c r="J116" t="inlineStr">
        <is>
          <t>CFU/100 mL</t>
        </is>
      </c>
      <c r="K116" t="n">
        <v>0</v>
      </c>
      <c r="L116" t="n">
        <v>0</v>
      </c>
      <c r="M116" t="str">
        <f>IF(AND(I116&gt;=K116,I116&lt;=L116),"Yes","No")</f>
        <v>Yes</v>
      </c>
      <c r="N116" s="34">
        <f>IF(L116=0,"",I116/L116)</f>
        <v/>
      </c>
      <c r="O116" s="33" t="n">
        <v>4200</v>
      </c>
      <c r="P116" t="inlineStr">
        <is>
          <t>Zorzor Hospital</t>
        </is>
      </c>
      <c r="Q116" t="inlineStr">
        <is>
          <t>H. Zolia</t>
        </is>
      </c>
    </row>
    <row r="117">
      <c r="A117" t="inlineStr">
        <is>
          <t>WQ-2026-00114</t>
        </is>
      </c>
      <c r="B117" s="32" t="n">
        <v>46054</v>
      </c>
      <c r="C117" s="33">
        <f>MONTH(B117)</f>
        <v>2</v>
      </c>
      <c r="D117" t="inlineStr">
        <is>
          <t>Montserrado</t>
        </is>
      </c>
      <c r="E117" t="inlineStr">
        <is>
          <t>West Point - Community Borehole</t>
        </is>
      </c>
      <c r="F117" t="inlineStr">
        <is>
          <t>Community Borehole</t>
        </is>
      </c>
      <c r="G117" t="inlineStr">
        <is>
          <t>Water</t>
        </is>
      </c>
      <c r="H117" t="inlineStr">
        <is>
          <t>Manganese</t>
        </is>
      </c>
      <c r="I117" t="n">
        <v>0.09</v>
      </c>
      <c r="J117" t="inlineStr">
        <is>
          <t>mg/L</t>
        </is>
      </c>
      <c r="K117" t="n">
        <v>0</v>
      </c>
      <c r="L117" t="n">
        <v>0.4</v>
      </c>
      <c r="M117" t="str">
        <f>IF(AND(I117&gt;=K117,I117&lt;=L117),"Yes","No")</f>
        <v>Yes</v>
      </c>
      <c r="N117" s="34">
        <f>IF(L117=0,"",I117/L117)</f>
        <v>0.225</v>
      </c>
      <c r="O117" s="33" t="n">
        <v>2500</v>
      </c>
      <c r="P117" t="inlineStr">
        <is>
          <t>St. Joseph's Catholic Hospital</t>
        </is>
      </c>
      <c r="Q117" t="inlineStr">
        <is>
          <t>A. Kollie</t>
        </is>
      </c>
    </row>
    <row r="118">
      <c r="A118" t="inlineStr">
        <is>
          <t>WQ-2026-00115</t>
        </is>
      </c>
      <c r="B118" s="32" t="n">
        <v>46065</v>
      </c>
      <c r="C118" s="33">
        <f>MONTH(B118)</f>
        <v>2</v>
      </c>
      <c r="D118" t="inlineStr">
        <is>
          <t>Montserrado</t>
        </is>
      </c>
      <c r="E118" t="inlineStr">
        <is>
          <t>Johnsonville - River / Stream Intake</t>
        </is>
      </c>
      <c r="F118" t="inlineStr">
        <is>
          <t>River / Stream Intake</t>
        </is>
      </c>
      <c r="G118" t="inlineStr">
        <is>
          <t>Water</t>
        </is>
      </c>
      <c r="H118" t="inlineStr">
        <is>
          <t>Turbidity</t>
        </is>
      </c>
      <c r="I118" t="n">
        <v>2.5</v>
      </c>
      <c r="J118" t="inlineStr">
        <is>
          <t>NTU</t>
        </is>
      </c>
      <c r="K118" t="n">
        <v>0</v>
      </c>
      <c r="L118" t="n">
        <v>5</v>
      </c>
      <c r="M118" t="str">
        <f>IF(AND(I118&gt;=K118,I118&lt;=L118),"Yes","No")</f>
        <v>Yes</v>
      </c>
      <c r="N118" s="34">
        <f>IF(L118=0,"",I118/L118)</f>
        <v>0.5</v>
      </c>
      <c r="O118" s="33" t="n">
        <v>240</v>
      </c>
      <c r="P118" t="inlineStr">
        <is>
          <t>Benson Hospital</t>
        </is>
      </c>
      <c r="Q118" t="inlineStr">
        <is>
          <t>P. Wleh</t>
        </is>
      </c>
    </row>
    <row r="119">
      <c r="A119" t="inlineStr">
        <is>
          <t>WQ-2026-00116</t>
        </is>
      </c>
      <c r="B119" s="32" t="n">
        <v>46074</v>
      </c>
      <c r="C119" s="33">
        <f>MONTH(B119)</f>
        <v>2</v>
      </c>
      <c r="D119" t="inlineStr">
        <is>
          <t>Grand Gedeh</t>
        </is>
      </c>
      <c r="E119" t="inlineStr">
        <is>
          <t>Zwedru - Hand-Dug Well</t>
        </is>
      </c>
      <c r="F119" t="inlineStr">
        <is>
          <t>Hand-Dug Well</t>
        </is>
      </c>
      <c r="G119" t="inlineStr">
        <is>
          <t>Water</t>
        </is>
      </c>
      <c r="H119" t="inlineStr">
        <is>
          <t>Nitrate (as NO3)</t>
        </is>
      </c>
      <c r="I119" t="n">
        <v>5</v>
      </c>
      <c r="J119" t="inlineStr">
        <is>
          <t>mg/L</t>
        </is>
      </c>
      <c r="K119" t="n">
        <v>0</v>
      </c>
      <c r="L119" t="n">
        <v>10</v>
      </c>
      <c r="M119" t="str">
        <f>IF(AND(I119&gt;=K119,I119&lt;=L119),"Yes","No")</f>
        <v>Yes</v>
      </c>
      <c r="N119" s="34">
        <f>IF(L119=0,"",I119/L119)</f>
        <v>0.5</v>
      </c>
      <c r="O119" s="33" t="n">
        <v>900</v>
      </c>
      <c r="P119" t="inlineStr">
        <is>
          <t>Martha Tubman Memorial Hospital</t>
        </is>
      </c>
      <c r="Q119" t="inlineStr">
        <is>
          <t>B. Kpadeh</t>
        </is>
      </c>
    </row>
    <row r="120">
      <c r="A120" t="inlineStr">
        <is>
          <t>AQ-2026-00117</t>
        </is>
      </c>
      <c r="B120" s="32" t="n">
        <v>46061</v>
      </c>
      <c r="C120" s="33">
        <f>MONTH(B120)</f>
        <v>2</v>
      </c>
      <c r="D120" t="inlineStr">
        <is>
          <t>Nimba</t>
        </is>
      </c>
      <c r="E120" t="inlineStr">
        <is>
          <t>Saclepea - Industrial Perimeter</t>
        </is>
      </c>
      <c r="F120" t="inlineStr">
        <is>
          <t>Industrial Perimeter</t>
        </is>
      </c>
      <c r="G120" t="inlineStr">
        <is>
          <t>Air</t>
        </is>
      </c>
      <c r="H120" t="inlineStr">
        <is>
          <t>PM10</t>
        </is>
      </c>
      <c r="I120" t="n">
        <v>19.2</v>
      </c>
      <c r="J120" t="inlineStr">
        <is>
          <t>ug/m3</t>
        </is>
      </c>
      <c r="K120" t="n">
        <v>0</v>
      </c>
      <c r="L120" t="n">
        <v>50</v>
      </c>
      <c r="M120" t="str">
        <f>IF(AND(I120&gt;=K120,I120&lt;=L120),"Yes","No")</f>
        <v>Yes</v>
      </c>
      <c r="N120" s="34">
        <f>IF(L120=0,"",I120/L120)</f>
        <v>0.384</v>
      </c>
      <c r="O120" s="33" t="n">
        <v>6000</v>
      </c>
      <c r="P120" t="inlineStr">
        <is>
          <t>Saclepea Health Center</t>
        </is>
      </c>
      <c r="Q120" t="inlineStr">
        <is>
          <t>M. Toe</t>
        </is>
      </c>
    </row>
    <row r="121">
      <c r="A121" t="inlineStr">
        <is>
          <t>WQ-2026-00118</t>
        </is>
      </c>
      <c r="B121" s="32" t="n">
        <v>46061</v>
      </c>
      <c r="C121" s="33">
        <f>MONTH(B121)</f>
        <v>2</v>
      </c>
      <c r="D121" t="inlineStr">
        <is>
          <t>Bong</t>
        </is>
      </c>
      <c r="E121" t="inlineStr">
        <is>
          <t>Salala - School Water Point</t>
        </is>
      </c>
      <c r="F121" t="inlineStr">
        <is>
          <t>School Water Point</t>
        </is>
      </c>
      <c r="G121" t="inlineStr">
        <is>
          <t>Water</t>
        </is>
      </c>
      <c r="H121" t="inlineStr">
        <is>
          <t>Manganese</t>
        </is>
      </c>
      <c r="I121" t="n">
        <v>0.31</v>
      </c>
      <c r="J121" t="inlineStr">
        <is>
          <t>mg/L</t>
        </is>
      </c>
      <c r="K121" t="n">
        <v>0</v>
      </c>
      <c r="L121" t="n">
        <v>0.4</v>
      </c>
      <c r="M121" t="str">
        <f>IF(AND(I121&gt;=K121,I121&lt;=L121),"Yes","No")</f>
        <v>Yes</v>
      </c>
      <c r="N121" s="34">
        <f>IF(L121=0,"",I121/L121)</f>
        <v>0.775</v>
      </c>
      <c r="O121" s="33" t="n">
        <v>750</v>
      </c>
      <c r="P121" t="inlineStr">
        <is>
          <t>Phebe Hospital</t>
        </is>
      </c>
      <c r="Q121" t="inlineStr">
        <is>
          <t>E. Sebo</t>
        </is>
      </c>
    </row>
    <row r="122">
      <c r="A122" t="inlineStr">
        <is>
          <t>WQ-2026-00119</t>
        </is>
      </c>
      <c r="B122" s="32" t="n">
        <v>46079</v>
      </c>
      <c r="C122" s="33">
        <f>MONTH(B122)</f>
        <v>2</v>
      </c>
      <c r="D122" t="inlineStr">
        <is>
          <t>Margibi</t>
        </is>
      </c>
      <c r="E122" t="inlineStr">
        <is>
          <t>Firestone - School Water Point</t>
        </is>
      </c>
      <c r="F122" t="inlineStr">
        <is>
          <t>School Water Point</t>
        </is>
      </c>
      <c r="G122" t="inlineStr">
        <is>
          <t>Water</t>
        </is>
      </c>
      <c r="H122" t="inlineStr">
        <is>
          <t>Total Coliform</t>
        </is>
      </c>
      <c r="I122" t="n">
        <v>0</v>
      </c>
      <c r="J122" t="inlineStr">
        <is>
          <t>CFU/100 mL</t>
        </is>
      </c>
      <c r="K122" t="n">
        <v>0</v>
      </c>
      <c r="L122" t="n">
        <v>0</v>
      </c>
      <c r="M122" t="str">
        <f>IF(AND(I122&gt;=K122,I122&lt;=L122),"Yes","No")</f>
        <v>Yes</v>
      </c>
      <c r="N122" s="34">
        <f>IF(L122=0,"",I122/L122)</f>
        <v/>
      </c>
      <c r="O122" s="33" t="n">
        <v>350</v>
      </c>
      <c r="P122" t="inlineStr">
        <is>
          <t>Harbel Health Center</t>
        </is>
      </c>
      <c r="Q122" t="inlineStr">
        <is>
          <t>B. Kpadeh</t>
        </is>
      </c>
    </row>
    <row r="123">
      <c r="A123" t="inlineStr">
        <is>
          <t>AQ-2026-00120</t>
        </is>
      </c>
      <c r="B123" s="32" t="n">
        <v>46065</v>
      </c>
      <c r="C123" s="33">
        <f>MONTH(B123)</f>
        <v>2</v>
      </c>
      <c r="D123" t="inlineStr">
        <is>
          <t>Nimba</t>
        </is>
      </c>
      <c r="E123" t="inlineStr">
        <is>
          <t>Karnplay - Residential Area</t>
        </is>
      </c>
      <c r="F123" t="inlineStr">
        <is>
          <t>Residential Area</t>
        </is>
      </c>
      <c r="G123" t="inlineStr">
        <is>
          <t>Air</t>
        </is>
      </c>
      <c r="H123" t="inlineStr">
        <is>
          <t>Nitrogen Dioxide (NO2)</t>
        </is>
      </c>
      <c r="I123" t="n">
        <v>2.2</v>
      </c>
      <c r="J123" t="inlineStr">
        <is>
          <t>ug/m3</t>
        </is>
      </c>
      <c r="K123" t="n">
        <v>0</v>
      </c>
      <c r="L123" t="n">
        <v>40</v>
      </c>
      <c r="M123" t="str">
        <f>IF(AND(I123&gt;=K123,I123&lt;=L123),"Yes","No")</f>
        <v>Yes</v>
      </c>
      <c r="N123" s="34">
        <f>IF(L123=0,"",I123/L123)</f>
        <v>0.055</v>
      </c>
      <c r="O123" s="33" t="n">
        <v>6000</v>
      </c>
      <c r="P123" t="inlineStr">
        <is>
          <t>Ganta United Methodist Hospital</t>
        </is>
      </c>
      <c r="Q123" t="inlineStr">
        <is>
          <t>H. Zolia</t>
        </is>
      </c>
    </row>
    <row r="124">
      <c r="A124" t="inlineStr">
        <is>
          <t>AQ-2026-00121</t>
        </is>
      </c>
      <c r="B124" s="32" t="n">
        <v>46068</v>
      </c>
      <c r="C124" s="33">
        <f>MONTH(B124)</f>
        <v>2</v>
      </c>
      <c r="D124" t="inlineStr">
        <is>
          <t>Bong</t>
        </is>
      </c>
      <c r="E124" t="inlineStr">
        <is>
          <t>Monrovia Breweries</t>
        </is>
      </c>
      <c r="F124" t="inlineStr">
        <is>
          <t>Industrial Perimeter</t>
        </is>
      </c>
      <c r="G124" t="inlineStr">
        <is>
          <t>Air</t>
        </is>
      </c>
      <c r="H124" t="inlineStr">
        <is>
          <t>PM10</t>
        </is>
      </c>
      <c r="I124" t="n">
        <v>26.7</v>
      </c>
      <c r="J124" t="inlineStr">
        <is>
          <t>ug/m3</t>
        </is>
      </c>
      <c r="K124" t="n">
        <v>0</v>
      </c>
      <c r="L124" t="n">
        <v>50</v>
      </c>
      <c r="M124" t="str">
        <f>IF(AND(I124&gt;=K124,I124&lt;=L124),"Yes","No")</f>
        <v>Yes</v>
      </c>
      <c r="N124" s="34">
        <f>IF(L124=0,"",I124/L124)</f>
        <v>0.534</v>
      </c>
      <c r="O124" s="33" t="n">
        <v>2200</v>
      </c>
      <c r="P124" t="inlineStr">
        <is>
          <t>Gbarnga Health Center</t>
        </is>
      </c>
      <c r="Q124" t="inlineStr">
        <is>
          <t>F. Gbato</t>
        </is>
      </c>
    </row>
    <row r="125">
      <c r="A125" t="inlineStr">
        <is>
          <t>WQ-2026-00122</t>
        </is>
      </c>
      <c r="B125" s="32" t="n">
        <v>46057</v>
      </c>
      <c r="C125" s="33">
        <f>MONTH(B125)</f>
        <v>2</v>
      </c>
      <c r="D125" t="inlineStr">
        <is>
          <t>Montserrado</t>
        </is>
      </c>
      <c r="E125" t="inlineStr">
        <is>
          <t>Brewerville - Hand-Dug Well</t>
        </is>
      </c>
      <c r="F125" t="inlineStr">
        <is>
          <t>Hand-Dug Well</t>
        </is>
      </c>
      <c r="G125" t="inlineStr">
        <is>
          <t>Water</t>
        </is>
      </c>
      <c r="H125" t="inlineStr">
        <is>
          <t>Iron</t>
        </is>
      </c>
      <c r="I125" t="n">
        <v>0.03</v>
      </c>
      <c r="J125" t="inlineStr">
        <is>
          <t>mg/L</t>
        </is>
      </c>
      <c r="K125" t="n">
        <v>0</v>
      </c>
      <c r="L125" t="n">
        <v>0.3</v>
      </c>
      <c r="M125" t="str">
        <f>IF(AND(I125&gt;=K125,I125&lt;=L125),"Yes","No")</f>
        <v>Yes</v>
      </c>
      <c r="N125" s="34">
        <f>IF(L125=0,"",I125/L125)</f>
        <v>0.1</v>
      </c>
      <c r="O125" s="33" t="n">
        <v>350</v>
      </c>
      <c r="P125" t="inlineStr">
        <is>
          <t>JFK Memorial Hospital</t>
        </is>
      </c>
      <c r="Q125" t="inlineStr">
        <is>
          <t>S. Dolo</t>
        </is>
      </c>
    </row>
    <row r="126">
      <c r="A126" t="inlineStr">
        <is>
          <t>AQ-2026-00123</t>
        </is>
      </c>
      <c r="B126" s="32" t="n">
        <v>46063</v>
      </c>
      <c r="C126" s="33">
        <f>MONTH(B126)</f>
        <v>2</v>
      </c>
      <c r="D126" t="inlineStr">
        <is>
          <t>Grand Gedeh</t>
        </is>
      </c>
      <c r="E126" t="inlineStr">
        <is>
          <t>Toe Town - Dumpsite Perimeter</t>
        </is>
      </c>
      <c r="F126" t="inlineStr">
        <is>
          <t>Dumpsite Perimeter</t>
        </is>
      </c>
      <c r="G126" t="inlineStr">
        <is>
          <t>Air</t>
        </is>
      </c>
      <c r="H126" t="inlineStr">
        <is>
          <t>Nitrogen Dioxide (NO2)</t>
        </is>
      </c>
      <c r="I126" t="n">
        <v>11.8</v>
      </c>
      <c r="J126" t="inlineStr">
        <is>
          <t>ug/m3</t>
        </is>
      </c>
      <c r="K126" t="n">
        <v>0</v>
      </c>
      <c r="L126" t="n">
        <v>40</v>
      </c>
      <c r="M126" t="str">
        <f>IF(AND(I126&gt;=K126,I126&lt;=L126),"Yes","No")</f>
        <v>Yes</v>
      </c>
      <c r="N126" s="34">
        <f>IF(L126=0,"",I126/L126)</f>
        <v>0.295</v>
      </c>
      <c r="O126" s="33" t="n">
        <v>1500</v>
      </c>
      <c r="P126" t="inlineStr">
        <is>
          <t>Zwedru Health Center</t>
        </is>
      </c>
      <c r="Q126" t="inlineStr">
        <is>
          <t>B. Kpadeh</t>
        </is>
      </c>
    </row>
    <row r="127">
      <c r="A127" t="inlineStr">
        <is>
          <t>SL-2026-00124</t>
        </is>
      </c>
      <c r="B127" s="32" t="n">
        <v>46058</v>
      </c>
      <c r="C127" s="33">
        <f>MONTH(B127)</f>
        <v>2</v>
      </c>
      <c r="D127" t="inlineStr">
        <is>
          <t>Sinoe</t>
        </is>
      </c>
      <c r="E127" t="inlineStr">
        <is>
          <t>Juazon - Industrial Site</t>
        </is>
      </c>
      <c r="F127" t="inlineStr">
        <is>
          <t>Industrial Site</t>
        </is>
      </c>
      <c r="G127" t="inlineStr">
        <is>
          <t>Soil</t>
        </is>
      </c>
      <c r="H127" t="inlineStr">
        <is>
          <t>Arsenic</t>
        </is>
      </c>
      <c r="I127" t="n">
        <v>60.6</v>
      </c>
      <c r="J127" t="inlineStr">
        <is>
          <t>mg/kg</t>
        </is>
      </c>
      <c r="K127" t="n">
        <v>0</v>
      </c>
      <c r="L127" t="n">
        <v>20</v>
      </c>
      <c r="M127" t="str">
        <f>IF(AND(I127&gt;=K127,I127&lt;=L127),"Yes","No")</f>
        <v>No</v>
      </c>
      <c r="N127" s="34">
        <f>IF(L127=0,"",I127/L127)</f>
        <v>3.03</v>
      </c>
      <c r="O127" s="33" t="n">
        <v>800</v>
      </c>
      <c r="P127" t="inlineStr">
        <is>
          <t>Greenville Health Center</t>
        </is>
      </c>
      <c r="Q127" t="inlineStr">
        <is>
          <t>P. Wleh</t>
        </is>
      </c>
    </row>
    <row r="128">
      <c r="A128" t="inlineStr">
        <is>
          <t>AQ-2026-00125</t>
        </is>
      </c>
      <c r="B128" s="32" t="n">
        <v>46064</v>
      </c>
      <c r="C128" s="33">
        <f>MONTH(B128)</f>
        <v>2</v>
      </c>
      <c r="D128" t="inlineStr">
        <is>
          <t>Bong</t>
        </is>
      </c>
      <c r="E128" t="inlineStr">
        <is>
          <t>Liberia Cement Corporation</t>
        </is>
      </c>
      <c r="F128" t="inlineStr">
        <is>
          <t>Industrial Perimeter</t>
        </is>
      </c>
      <c r="G128" t="inlineStr">
        <is>
          <t>Air</t>
        </is>
      </c>
      <c r="H128" t="inlineStr">
        <is>
          <t>Nitrogen Dioxide (NO2)</t>
        </is>
      </c>
      <c r="I128" t="n">
        <v>101.5</v>
      </c>
      <c r="J128" t="inlineStr">
        <is>
          <t>ug/m3</t>
        </is>
      </c>
      <c r="K128" t="n">
        <v>0</v>
      </c>
      <c r="L128" t="n">
        <v>40</v>
      </c>
      <c r="M128" t="str">
        <f>IF(AND(I128&gt;=K128,I128&lt;=L128),"Yes","No")</f>
        <v>No</v>
      </c>
      <c r="N128" s="34">
        <f>IF(L128=0,"",I128/L128)</f>
        <v>2.5375</v>
      </c>
      <c r="O128" s="33" t="n">
        <v>800</v>
      </c>
      <c r="P128" t="inlineStr">
        <is>
          <t>Phebe Hospital</t>
        </is>
      </c>
      <c r="Q128" t="inlineStr">
        <is>
          <t>E. Sebo</t>
        </is>
      </c>
    </row>
    <row r="129">
      <c r="A129" t="inlineStr">
        <is>
          <t>SL-2026-00126</t>
        </is>
      </c>
      <c r="B129" s="32" t="n">
        <v>46074</v>
      </c>
      <c r="C129" s="33">
        <f>MONTH(B129)</f>
        <v>2</v>
      </c>
      <c r="D129" t="inlineStr">
        <is>
          <t>Bong</t>
        </is>
      </c>
      <c r="E129" t="inlineStr">
        <is>
          <t>Gbarnga - Industrial Site</t>
        </is>
      </c>
      <c r="F129" t="inlineStr">
        <is>
          <t>Industrial Site</t>
        </is>
      </c>
      <c r="G129" t="inlineStr">
        <is>
          <t>Soil</t>
        </is>
      </c>
      <c r="H129" t="inlineStr">
        <is>
          <t>Lead</t>
        </is>
      </c>
      <c r="I129" t="n">
        <v>70</v>
      </c>
      <c r="J129" t="inlineStr">
        <is>
          <t>mg/kg</t>
        </is>
      </c>
      <c r="K129" t="n">
        <v>0</v>
      </c>
      <c r="L129" t="n">
        <v>100</v>
      </c>
      <c r="M129" t="str">
        <f>IF(AND(I129&gt;=K129,I129&lt;=L129),"Yes","No")</f>
        <v>Yes</v>
      </c>
      <c r="N129" s="34">
        <f>IF(L129=0,"",I129/L129)</f>
        <v>0.7</v>
      </c>
      <c r="O129" s="33" t="n">
        <v>2200</v>
      </c>
      <c r="P129" t="inlineStr">
        <is>
          <t>Suakoko Clinic</t>
        </is>
      </c>
      <c r="Q129" t="inlineStr">
        <is>
          <t>J. Nyeman</t>
        </is>
      </c>
    </row>
    <row r="130">
      <c r="A130" t="inlineStr">
        <is>
          <t>WQ-2026-00127</t>
        </is>
      </c>
      <c r="B130" s="32" t="n">
        <v>46074</v>
      </c>
      <c r="C130" s="33">
        <f>MONTH(B130)</f>
        <v>2</v>
      </c>
      <c r="D130" t="inlineStr">
        <is>
          <t>Montserrado</t>
        </is>
      </c>
      <c r="E130" t="inlineStr">
        <is>
          <t>Paynesville - Public Tap Stand</t>
        </is>
      </c>
      <c r="F130" t="inlineStr">
        <is>
          <t>Public Tap Stand</t>
        </is>
      </c>
      <c r="G130" t="inlineStr">
        <is>
          <t>Water</t>
        </is>
      </c>
      <c r="H130" t="inlineStr">
        <is>
          <t>Turbidity</t>
        </is>
      </c>
      <c r="I130" t="n">
        <v>4.1</v>
      </c>
      <c r="J130" t="inlineStr">
        <is>
          <t>NTU</t>
        </is>
      </c>
      <c r="K130" t="n">
        <v>0</v>
      </c>
      <c r="L130" t="n">
        <v>5</v>
      </c>
      <c r="M130" t="str">
        <f>IF(AND(I130&gt;=K130,I130&lt;=L130),"Yes","No")</f>
        <v>Yes</v>
      </c>
      <c r="N130" s="34">
        <f>IF(L130=0,"",I130/L130)</f>
        <v>0.82</v>
      </c>
      <c r="O130" s="33" t="n">
        <v>1200</v>
      </c>
      <c r="P130" t="inlineStr">
        <is>
          <t>Benson Hospital</t>
        </is>
      </c>
      <c r="Q130" t="inlineStr">
        <is>
          <t>H. Zolia</t>
        </is>
      </c>
    </row>
    <row r="131">
      <c r="A131" t="inlineStr">
        <is>
          <t>WQ-2026-00128</t>
        </is>
      </c>
      <c r="B131" s="32" t="n">
        <v>46065</v>
      </c>
      <c r="C131" s="33">
        <f>MONTH(B131)</f>
        <v>2</v>
      </c>
      <c r="D131" t="inlineStr">
        <is>
          <t>Grand Cape Mount</t>
        </is>
      </c>
      <c r="E131" t="inlineStr">
        <is>
          <t>Bomi Hills - Health Facility Supply</t>
        </is>
      </c>
      <c r="F131" t="inlineStr">
        <is>
          <t>Health Facility Supply</t>
        </is>
      </c>
      <c r="G131" t="inlineStr">
        <is>
          <t>Water</t>
        </is>
      </c>
      <c r="H131" t="inlineStr">
        <is>
          <t>Nitrate (as NO3)</t>
        </is>
      </c>
      <c r="I131" t="n">
        <v>8.199999999999999</v>
      </c>
      <c r="J131" t="inlineStr">
        <is>
          <t>mg/L</t>
        </is>
      </c>
      <c r="K131" t="n">
        <v>0</v>
      </c>
      <c r="L131" t="n">
        <v>10</v>
      </c>
      <c r="M131" t="str">
        <f>IF(AND(I131&gt;=K131,I131&lt;=L131),"Yes","No")</f>
        <v>Yes</v>
      </c>
      <c r="N131" s="34">
        <f>IF(L131=0,"",I131/L131)</f>
        <v>0.82</v>
      </c>
      <c r="O131" s="33" t="n">
        <v>750</v>
      </c>
      <c r="P131" t="inlineStr">
        <is>
          <t>Sinje Health Center</t>
        </is>
      </c>
      <c r="Q131" t="inlineStr">
        <is>
          <t>H. Zolia</t>
        </is>
      </c>
    </row>
    <row r="132">
      <c r="A132" t="inlineStr">
        <is>
          <t>RD-2026-00129</t>
        </is>
      </c>
      <c r="B132" s="32" t="n">
        <v>46062</v>
      </c>
      <c r="C132" s="33">
        <f>MONTH(B132)</f>
        <v>2</v>
      </c>
      <c r="D132" t="inlineStr">
        <is>
          <t>Montserrado</t>
        </is>
      </c>
      <c r="E132" t="inlineStr">
        <is>
          <t>Brewerville - Industrial Site</t>
        </is>
      </c>
      <c r="F132" t="inlineStr">
        <is>
          <t>Industrial Site</t>
        </is>
      </c>
      <c r="G132" t="inlineStr">
        <is>
          <t>Ambient Radiation</t>
        </is>
      </c>
      <c r="H132" t="inlineStr">
        <is>
          <t>Gamma Dose Rate</t>
        </is>
      </c>
      <c r="I132" t="n">
        <v>0.97</v>
      </c>
      <c r="J132" t="inlineStr">
        <is>
          <t>uSv/h</t>
        </is>
      </c>
      <c r="K132" t="n">
        <v>0</v>
      </c>
      <c r="L132" t="n">
        <v>0.3</v>
      </c>
      <c r="M132" t="str">
        <f>IF(AND(I132&gt;=K132,I132&lt;=L132),"Yes","No")</f>
        <v>No</v>
      </c>
      <c r="N132" s="34">
        <f>IF(L132=0,"",I132/L132)</f>
        <v>3.2333333333</v>
      </c>
      <c r="O132" s="33" t="n">
        <v>0</v>
      </c>
      <c r="P132" t="inlineStr">
        <is>
          <t>Benson Hospital</t>
        </is>
      </c>
      <c r="Q132" t="inlineStr">
        <is>
          <t>A. Kollie</t>
        </is>
      </c>
    </row>
    <row r="133">
      <c r="A133" t="inlineStr">
        <is>
          <t>WQ-2026-00130</t>
        </is>
      </c>
      <c r="B133" s="32" t="n">
        <v>46082</v>
      </c>
      <c r="C133" s="33">
        <f>MONTH(B133)</f>
        <v>3</v>
      </c>
      <c r="D133" t="inlineStr">
        <is>
          <t>Nimba</t>
        </is>
      </c>
      <c r="E133" t="inlineStr">
        <is>
          <t>Ganta - Community Borehole</t>
        </is>
      </c>
      <c r="F133" t="inlineStr">
        <is>
          <t>Community Borehole</t>
        </is>
      </c>
      <c r="G133" t="inlineStr">
        <is>
          <t>Water</t>
        </is>
      </c>
      <c r="H133" t="inlineStr">
        <is>
          <t>Nitrate (as NO3)</t>
        </is>
      </c>
      <c r="I133" t="n">
        <v>2.9</v>
      </c>
      <c r="J133" t="inlineStr">
        <is>
          <t>mg/L</t>
        </is>
      </c>
      <c r="K133" t="n">
        <v>0</v>
      </c>
      <c r="L133" t="n">
        <v>10</v>
      </c>
      <c r="M133" t="str">
        <f>IF(AND(I133&gt;=K133,I133&lt;=L133),"Yes","No")</f>
        <v>Yes</v>
      </c>
      <c r="N133" s="34">
        <f>IF(L133=0,"",I133/L133)</f>
        <v>0.29</v>
      </c>
      <c r="O133" s="33" t="n">
        <v>4200</v>
      </c>
      <c r="P133" t="inlineStr">
        <is>
          <t>Tappita Referral Hospital</t>
        </is>
      </c>
      <c r="Q133" t="inlineStr">
        <is>
          <t>A. Kollie</t>
        </is>
      </c>
    </row>
    <row r="134">
      <c r="A134" t="inlineStr">
        <is>
          <t>RD-2026-00131</t>
        </is>
      </c>
      <c r="B134" s="32" t="n">
        <v>46085</v>
      </c>
      <c r="C134" s="33">
        <f>MONTH(B134)</f>
        <v>3</v>
      </c>
      <c r="D134" t="inlineStr">
        <is>
          <t>Bong</t>
        </is>
      </c>
      <c r="E134" t="inlineStr">
        <is>
          <t>Palala - Medical Facility</t>
        </is>
      </c>
      <c r="F134" t="inlineStr">
        <is>
          <t>Medical Facility</t>
        </is>
      </c>
      <c r="G134" t="inlineStr">
        <is>
          <t>Ambient Radiation</t>
        </is>
      </c>
      <c r="H134" t="inlineStr">
        <is>
          <t>Gamma Dose Rate</t>
        </is>
      </c>
      <c r="I134" t="n">
        <v>0.05</v>
      </c>
      <c r="J134" t="inlineStr">
        <is>
          <t>uSv/h</t>
        </is>
      </c>
      <c r="K134" t="n">
        <v>0</v>
      </c>
      <c r="L134" t="n">
        <v>0.3</v>
      </c>
      <c r="M134" t="str">
        <f>IF(AND(I134&gt;=K134,I134&lt;=L134),"Yes","No")</f>
        <v>Yes</v>
      </c>
      <c r="N134" s="34">
        <f>IF(L134=0,"",I134/L134)</f>
        <v>0.1666666667</v>
      </c>
      <c r="O134" s="33" t="n">
        <v>0</v>
      </c>
      <c r="P134" t="inlineStr">
        <is>
          <t>Suakoko Clinic</t>
        </is>
      </c>
      <c r="Q134" t="inlineStr">
        <is>
          <t>M. Toe</t>
        </is>
      </c>
    </row>
    <row r="135">
      <c r="A135" t="inlineStr">
        <is>
          <t>WQ-2026-00132</t>
        </is>
      </c>
      <c r="B135" s="32" t="n">
        <v>46105</v>
      </c>
      <c r="C135" s="33">
        <f>MONTH(B135)</f>
        <v>3</v>
      </c>
      <c r="D135" t="inlineStr">
        <is>
          <t>Margibi</t>
        </is>
      </c>
      <c r="E135" t="inlineStr">
        <is>
          <t>Weala - River / Stream Intake</t>
        </is>
      </c>
      <c r="F135" t="inlineStr">
        <is>
          <t>River / Stream Intake</t>
        </is>
      </c>
      <c r="G135" t="inlineStr">
        <is>
          <t>Water</t>
        </is>
      </c>
      <c r="H135" t="inlineStr">
        <is>
          <t>Iron</t>
        </is>
      </c>
      <c r="I135" t="n">
        <v>0.26</v>
      </c>
      <c r="J135" t="inlineStr">
        <is>
          <t>mg/L</t>
        </is>
      </c>
      <c r="K135" t="n">
        <v>0</v>
      </c>
      <c r="L135" t="n">
        <v>0.3</v>
      </c>
      <c r="M135" t="str">
        <f>IF(AND(I135&gt;=K135,I135&lt;=L135),"Yes","No")</f>
        <v>Yes</v>
      </c>
      <c r="N135" s="34">
        <f>IF(L135=0,"",I135/L135)</f>
        <v>0.8666666667</v>
      </c>
      <c r="O135" s="33" t="n">
        <v>750</v>
      </c>
      <c r="P135" t="inlineStr">
        <is>
          <t>Harbel Health Center</t>
        </is>
      </c>
      <c r="Q135" t="inlineStr">
        <is>
          <t>A. Kollie</t>
        </is>
      </c>
    </row>
    <row r="136">
      <c r="A136" t="inlineStr">
        <is>
          <t>AQ-2026-00133</t>
        </is>
      </c>
      <c r="B136" s="32" t="n">
        <v>46098</v>
      </c>
      <c r="C136" s="33">
        <f>MONTH(B136)</f>
        <v>3</v>
      </c>
      <c r="D136" t="inlineStr">
        <is>
          <t>Bong</t>
        </is>
      </c>
      <c r="E136" t="inlineStr">
        <is>
          <t>China Union Bong Mines</t>
        </is>
      </c>
      <c r="F136" t="inlineStr">
        <is>
          <t>Industrial Perimeter</t>
        </is>
      </c>
      <c r="G136" t="inlineStr">
        <is>
          <t>Air</t>
        </is>
      </c>
      <c r="H136" t="inlineStr">
        <is>
          <t>Sulphur Dioxide (SO2)</t>
        </is>
      </c>
      <c r="I136" t="n">
        <v>28</v>
      </c>
      <c r="J136" t="inlineStr">
        <is>
          <t>ug/m3</t>
        </is>
      </c>
      <c r="K136" t="n">
        <v>0</v>
      </c>
      <c r="L136" t="n">
        <v>125</v>
      </c>
      <c r="M136" t="str">
        <f>IF(AND(I136&gt;=K136,I136&lt;=L136),"Yes","No")</f>
        <v>Yes</v>
      </c>
      <c r="N136" s="34">
        <f>IF(L136=0,"",I136/L136)</f>
        <v>0.224</v>
      </c>
      <c r="O136" s="33" t="n">
        <v>1500</v>
      </c>
      <c r="P136" t="inlineStr">
        <is>
          <t>Suakoko Clinic</t>
        </is>
      </c>
      <c r="Q136" t="inlineStr">
        <is>
          <t>A. Kollie</t>
        </is>
      </c>
    </row>
    <row r="137">
      <c r="A137" t="inlineStr">
        <is>
          <t>WQ-2026-00134</t>
        </is>
      </c>
      <c r="B137" s="32" t="n">
        <v>46098</v>
      </c>
      <c r="C137" s="33">
        <f>MONTH(B137)</f>
        <v>3</v>
      </c>
      <c r="D137" t="inlineStr">
        <is>
          <t>Montserrado</t>
        </is>
      </c>
      <c r="E137" t="inlineStr">
        <is>
          <t>West Point - Health Facility Supply</t>
        </is>
      </c>
      <c r="F137" t="inlineStr">
        <is>
          <t>Health Facility Supply</t>
        </is>
      </c>
      <c r="G137" t="inlineStr">
        <is>
          <t>Water</t>
        </is>
      </c>
      <c r="H137" t="inlineStr">
        <is>
          <t>E. coli</t>
        </is>
      </c>
      <c r="I137" t="n">
        <v>0</v>
      </c>
      <c r="J137" t="inlineStr">
        <is>
          <t>CFU/100 mL</t>
        </is>
      </c>
      <c r="K137" t="n">
        <v>0</v>
      </c>
      <c r="L137" t="n">
        <v>0</v>
      </c>
      <c r="M137" t="str">
        <f>IF(AND(I137&gt;=K137,I137&lt;=L137),"Yes","No")</f>
        <v>Yes</v>
      </c>
      <c r="N137" s="34">
        <f>IF(L137=0,"",I137/L137)</f>
        <v/>
      </c>
      <c r="O137" s="33" t="n">
        <v>900</v>
      </c>
      <c r="P137" t="inlineStr">
        <is>
          <t>Benson Hospital</t>
        </is>
      </c>
      <c r="Q137" t="inlineStr">
        <is>
          <t>P. Wleh</t>
        </is>
      </c>
    </row>
    <row r="138">
      <c r="A138" t="inlineStr">
        <is>
          <t>WQ-2026-00135</t>
        </is>
      </c>
      <c r="B138" s="32" t="n">
        <v>46107</v>
      </c>
      <c r="C138" s="33">
        <f>MONTH(B138)</f>
        <v>3</v>
      </c>
      <c r="D138" t="inlineStr">
        <is>
          <t>Nimba</t>
        </is>
      </c>
      <c r="E138" t="inlineStr">
        <is>
          <t>Saclepea - Hand-Dug Well</t>
        </is>
      </c>
      <c r="F138" t="inlineStr">
        <is>
          <t>Hand-Dug Well</t>
        </is>
      </c>
      <c r="G138" t="inlineStr">
        <is>
          <t>Water</t>
        </is>
      </c>
      <c r="H138" t="inlineStr">
        <is>
          <t>Arsenic</t>
        </is>
      </c>
      <c r="I138" t="n">
        <v>0.0018</v>
      </c>
      <c r="J138" t="inlineStr">
        <is>
          <t>mg/L</t>
        </is>
      </c>
      <c r="K138" t="n">
        <v>0</v>
      </c>
      <c r="L138" t="n">
        <v>0.01</v>
      </c>
      <c r="M138" t="str">
        <f>IF(AND(I138&gt;=K138,I138&lt;=L138),"Yes","No")</f>
        <v>Yes</v>
      </c>
      <c r="N138" s="34">
        <f>IF(L138=0,"",I138/L138)</f>
        <v>0.18</v>
      </c>
      <c r="O138" s="33" t="n">
        <v>120</v>
      </c>
      <c r="P138" t="inlineStr">
        <is>
          <t>Saclepea Health Center</t>
        </is>
      </c>
      <c r="Q138" t="inlineStr">
        <is>
          <t>S. Dolo</t>
        </is>
      </c>
    </row>
    <row r="139">
      <c r="A139" t="inlineStr">
        <is>
          <t>WQ-2026-00136</t>
        </is>
      </c>
      <c r="B139" s="32" t="n">
        <v>46112</v>
      </c>
      <c r="C139" s="33">
        <f>MONTH(B139)</f>
        <v>3</v>
      </c>
      <c r="D139" t="inlineStr">
        <is>
          <t>Montserrado</t>
        </is>
      </c>
      <c r="E139" t="inlineStr">
        <is>
          <t>Brewerville - Hand-Dug Well</t>
        </is>
      </c>
      <c r="F139" t="inlineStr">
        <is>
          <t>Hand-Dug Well</t>
        </is>
      </c>
      <c r="G139" t="inlineStr">
        <is>
          <t>Water</t>
        </is>
      </c>
      <c r="H139" t="inlineStr">
        <is>
          <t>Total Coliform</t>
        </is>
      </c>
      <c r="I139" t="n">
        <v>0</v>
      </c>
      <c r="J139" t="inlineStr">
        <is>
          <t>CFU/100 mL</t>
        </is>
      </c>
      <c r="K139" t="n">
        <v>0</v>
      </c>
      <c r="L139" t="n">
        <v>0</v>
      </c>
      <c r="M139" t="str">
        <f>IF(AND(I139&gt;=K139,I139&lt;=L139),"Yes","No")</f>
        <v>Yes</v>
      </c>
      <c r="N139" s="34">
        <f>IF(L139=0,"",I139/L139)</f>
        <v/>
      </c>
      <c r="O139" s="33" t="n">
        <v>1800</v>
      </c>
      <c r="P139" t="inlineStr">
        <is>
          <t>St. Joseph's Catholic Hospital</t>
        </is>
      </c>
      <c r="Q139" t="inlineStr">
        <is>
          <t>H. Zolia</t>
        </is>
      </c>
    </row>
    <row r="140">
      <c r="A140" t="inlineStr">
        <is>
          <t>WQ-2026-00137</t>
        </is>
      </c>
      <c r="B140" s="32" t="n">
        <v>46107</v>
      </c>
      <c r="C140" s="33">
        <f>MONTH(B140)</f>
        <v>3</v>
      </c>
      <c r="D140" t="inlineStr">
        <is>
          <t>Montserrado</t>
        </is>
      </c>
      <c r="E140" t="inlineStr">
        <is>
          <t>New Kru Town - School Water Point</t>
        </is>
      </c>
      <c r="F140" t="inlineStr">
        <is>
          <t>School Water Point</t>
        </is>
      </c>
      <c r="G140" t="inlineStr">
        <is>
          <t>Water</t>
        </is>
      </c>
      <c r="H140" t="inlineStr">
        <is>
          <t>Lead</t>
        </is>
      </c>
      <c r="I140" t="n">
        <v>0.008399999999999999</v>
      </c>
      <c r="J140" t="inlineStr">
        <is>
          <t>mg/L</t>
        </is>
      </c>
      <c r="K140" t="n">
        <v>0</v>
      </c>
      <c r="L140" t="n">
        <v>0.01</v>
      </c>
      <c r="M140" t="str">
        <f>IF(AND(I140&gt;=K140,I140&lt;=L140),"Yes","No")</f>
        <v>Yes</v>
      </c>
      <c r="N140" s="34">
        <f>IF(L140=0,"",I140/L140)</f>
        <v>0.84</v>
      </c>
      <c r="O140" s="33" t="n">
        <v>240</v>
      </c>
      <c r="P140" t="inlineStr">
        <is>
          <t>Redemption Hospital</t>
        </is>
      </c>
      <c r="Q140" t="inlineStr">
        <is>
          <t>A. Kollie</t>
        </is>
      </c>
    </row>
    <row r="141">
      <c r="A141" t="inlineStr">
        <is>
          <t>AQ-2026-00138</t>
        </is>
      </c>
      <c r="B141" s="32" t="n">
        <v>46085</v>
      </c>
      <c r="C141" s="33">
        <f>MONTH(B141)</f>
        <v>3</v>
      </c>
      <c r="D141" t="inlineStr">
        <is>
          <t>Bomi</t>
        </is>
      </c>
      <c r="E141" t="inlineStr">
        <is>
          <t>Klay - Dumpsite Perimeter</t>
        </is>
      </c>
      <c r="F141" t="inlineStr">
        <is>
          <t>Dumpsite Perimeter</t>
        </is>
      </c>
      <c r="G141" t="inlineStr">
        <is>
          <t>Air</t>
        </is>
      </c>
      <c r="H141" t="inlineStr">
        <is>
          <t>Nitrogen Dioxide (NO2)</t>
        </is>
      </c>
      <c r="I141" t="n">
        <v>36</v>
      </c>
      <c r="J141" t="inlineStr">
        <is>
          <t>ug/m3</t>
        </is>
      </c>
      <c r="K141" t="n">
        <v>0</v>
      </c>
      <c r="L141" t="n">
        <v>40</v>
      </c>
      <c r="M141" t="str">
        <f>IF(AND(I141&gt;=K141,I141&lt;=L141),"Yes","No")</f>
        <v>Yes</v>
      </c>
      <c r="N141" s="34">
        <f>IF(L141=0,"",I141/L141)</f>
        <v>0.9</v>
      </c>
      <c r="O141" s="33" t="n">
        <v>6000</v>
      </c>
      <c r="P141" t="inlineStr">
        <is>
          <t>Bomi County Health Center</t>
        </is>
      </c>
      <c r="Q141" t="inlineStr">
        <is>
          <t>T. Mulbah</t>
        </is>
      </c>
    </row>
    <row r="142">
      <c r="A142" t="inlineStr">
        <is>
          <t>WQ-2026-00139</t>
        </is>
      </c>
      <c r="B142" s="32" t="n">
        <v>46100</v>
      </c>
      <c r="C142" s="33">
        <f>MONTH(B142)</f>
        <v>3</v>
      </c>
      <c r="D142" t="inlineStr">
        <is>
          <t>Grand Bassa</t>
        </is>
      </c>
      <c r="E142" t="inlineStr">
        <is>
          <t>Owensgrove - Public Tap Stand</t>
        </is>
      </c>
      <c r="F142" t="inlineStr">
        <is>
          <t>Public Tap Stand</t>
        </is>
      </c>
      <c r="G142" t="inlineStr">
        <is>
          <t>Water</t>
        </is>
      </c>
      <c r="H142" t="inlineStr">
        <is>
          <t>Nitrate (as NO3)</t>
        </is>
      </c>
      <c r="I142" t="n">
        <v>4.7</v>
      </c>
      <c r="J142" t="inlineStr">
        <is>
          <t>mg/L</t>
        </is>
      </c>
      <c r="K142" t="n">
        <v>0</v>
      </c>
      <c r="L142" t="n">
        <v>10</v>
      </c>
      <c r="M142" t="str">
        <f>IF(AND(I142&gt;=K142,I142&lt;=L142),"Yes","No")</f>
        <v>Yes</v>
      </c>
      <c r="N142" s="34">
        <f>IF(L142=0,"",I142/L142)</f>
        <v>0.47</v>
      </c>
      <c r="O142" s="33" t="n">
        <v>4200</v>
      </c>
      <c r="P142" t="inlineStr">
        <is>
          <t>Edina Health Center</t>
        </is>
      </c>
      <c r="Q142" t="inlineStr">
        <is>
          <t>J. Nyeman</t>
        </is>
      </c>
    </row>
    <row r="143">
      <c r="A143" t="inlineStr">
        <is>
          <t>WQ-2026-00140</t>
        </is>
      </c>
      <c r="B143" s="32" t="n">
        <v>46092</v>
      </c>
      <c r="C143" s="33">
        <f>MONTH(B143)</f>
        <v>3</v>
      </c>
      <c r="D143" t="inlineStr">
        <is>
          <t>Bong</t>
        </is>
      </c>
      <c r="E143" t="inlineStr">
        <is>
          <t>Totota - Hand-Dug Well</t>
        </is>
      </c>
      <c r="F143" t="inlineStr">
        <is>
          <t>Hand-Dug Well</t>
        </is>
      </c>
      <c r="G143" t="inlineStr">
        <is>
          <t>Water</t>
        </is>
      </c>
      <c r="H143" t="inlineStr">
        <is>
          <t>Turbidity</t>
        </is>
      </c>
      <c r="I143" t="n">
        <v>7</v>
      </c>
      <c r="J143" t="inlineStr">
        <is>
          <t>NTU</t>
        </is>
      </c>
      <c r="K143" t="n">
        <v>0</v>
      </c>
      <c r="L143" t="n">
        <v>5</v>
      </c>
      <c r="M143" t="str">
        <f>IF(AND(I143&gt;=K143,I143&lt;=L143),"Yes","No")</f>
        <v>No</v>
      </c>
      <c r="N143" s="34">
        <f>IF(L143=0,"",I143/L143)</f>
        <v>1.4</v>
      </c>
      <c r="O143" s="33" t="n">
        <v>750</v>
      </c>
      <c r="P143" t="inlineStr">
        <is>
          <t>Suakoko Clinic</t>
        </is>
      </c>
      <c r="Q143" t="inlineStr">
        <is>
          <t>J. Nyeman</t>
        </is>
      </c>
    </row>
    <row r="144">
      <c r="A144" t="inlineStr">
        <is>
          <t>SL-2026-00141</t>
        </is>
      </c>
      <c r="B144" s="32" t="n">
        <v>46085</v>
      </c>
      <c r="C144" s="33">
        <f>MONTH(B144)</f>
        <v>3</v>
      </c>
      <c r="D144" t="inlineStr">
        <is>
          <t>Grand Cape Mount</t>
        </is>
      </c>
      <c r="E144" t="inlineStr">
        <is>
          <t>Sinje - Playground</t>
        </is>
      </c>
      <c r="F144" t="inlineStr">
        <is>
          <t>Playground</t>
        </is>
      </c>
      <c r="G144" t="inlineStr">
        <is>
          <t>Soil</t>
        </is>
      </c>
      <c r="H144" t="inlineStr">
        <is>
          <t>Lead</t>
        </is>
      </c>
      <c r="I144" t="n">
        <v>321</v>
      </c>
      <c r="J144" t="inlineStr">
        <is>
          <t>mg/kg</t>
        </is>
      </c>
      <c r="K144" t="n">
        <v>0</v>
      </c>
      <c r="L144" t="n">
        <v>100</v>
      </c>
      <c r="M144" t="str">
        <f>IF(AND(I144&gt;=K144,I144&lt;=L144),"Yes","No")</f>
        <v>No</v>
      </c>
      <c r="N144" s="34">
        <f>IF(L144=0,"",I144/L144)</f>
        <v>3.21</v>
      </c>
      <c r="O144" s="33" t="n">
        <v>6000</v>
      </c>
      <c r="P144" t="inlineStr">
        <is>
          <t>St. Timothy Hospital</t>
        </is>
      </c>
      <c r="Q144" t="inlineStr">
        <is>
          <t>B. Kpadeh</t>
        </is>
      </c>
    </row>
    <row r="145">
      <c r="A145" t="inlineStr">
        <is>
          <t>AQ-2026-00142</t>
        </is>
      </c>
      <c r="B145" s="32" t="n">
        <v>46100</v>
      </c>
      <c r="C145" s="33">
        <f>MONTH(B145)</f>
        <v>3</v>
      </c>
      <c r="D145" t="inlineStr">
        <is>
          <t>Bong</t>
        </is>
      </c>
      <c r="E145" t="inlineStr">
        <is>
          <t>Palala - Dumpsite Perimeter</t>
        </is>
      </c>
      <c r="F145" t="inlineStr">
        <is>
          <t>Dumpsite Perimeter</t>
        </is>
      </c>
      <c r="G145" t="inlineStr">
        <is>
          <t>Air</t>
        </is>
      </c>
      <c r="H145" t="inlineStr">
        <is>
          <t>PM2.5</t>
        </is>
      </c>
      <c r="I145" t="n">
        <v>13.9</v>
      </c>
      <c r="J145" t="inlineStr">
        <is>
          <t>ug/m3</t>
        </is>
      </c>
      <c r="K145" t="n">
        <v>0</v>
      </c>
      <c r="L145" t="n">
        <v>25</v>
      </c>
      <c r="M145" t="str">
        <f>IF(AND(I145&gt;=K145,I145&lt;=L145),"Yes","No")</f>
        <v>Yes</v>
      </c>
      <c r="N145" s="34">
        <f>IF(L145=0,"",I145/L145)</f>
        <v>0.556</v>
      </c>
      <c r="O145" s="33" t="n">
        <v>200</v>
      </c>
      <c r="P145" t="inlineStr">
        <is>
          <t>Gbarnga Health Center</t>
        </is>
      </c>
      <c r="Q145" t="inlineStr">
        <is>
          <t>T. Mulbah</t>
        </is>
      </c>
    </row>
    <row r="146">
      <c r="A146" t="inlineStr">
        <is>
          <t>WQ-2026-00143</t>
        </is>
      </c>
      <c r="B146" s="32" t="n">
        <v>46094</v>
      </c>
      <c r="C146" s="33">
        <f>MONTH(B146)</f>
        <v>3</v>
      </c>
      <c r="D146" t="inlineStr">
        <is>
          <t>Grand Bassa</t>
        </is>
      </c>
      <c r="E146" t="inlineStr">
        <is>
          <t>Buchanan - River / Stream Intake</t>
        </is>
      </c>
      <c r="F146" t="inlineStr">
        <is>
          <t>River / Stream Intake</t>
        </is>
      </c>
      <c r="G146" t="inlineStr">
        <is>
          <t>Water</t>
        </is>
      </c>
      <c r="H146" t="inlineStr">
        <is>
          <t>Turbidity</t>
        </is>
      </c>
      <c r="I146" t="n">
        <v>10.4</v>
      </c>
      <c r="J146" t="inlineStr">
        <is>
          <t>NTU</t>
        </is>
      </c>
      <c r="K146" t="n">
        <v>0</v>
      </c>
      <c r="L146" t="n">
        <v>5</v>
      </c>
      <c r="M146" t="str">
        <f>IF(AND(I146&gt;=K146,I146&lt;=L146),"Yes","No")</f>
        <v>No</v>
      </c>
      <c r="N146" s="34">
        <f>IF(L146=0,"",I146/L146)</f>
        <v>2.08</v>
      </c>
      <c r="O146" s="33" t="n">
        <v>350</v>
      </c>
      <c r="P146" t="inlineStr">
        <is>
          <t>Edina Health Center</t>
        </is>
      </c>
      <c r="Q146" t="inlineStr">
        <is>
          <t>F. Gbato</t>
        </is>
      </c>
    </row>
    <row r="147">
      <c r="A147" t="inlineStr">
        <is>
          <t>SL-2026-00144</t>
        </is>
      </c>
      <c r="B147" s="32" t="n">
        <v>46109</v>
      </c>
      <c r="C147" s="33">
        <f>MONTH(B147)</f>
        <v>3</v>
      </c>
      <c r="D147" t="inlineStr">
        <is>
          <t>Lofa</t>
        </is>
      </c>
      <c r="E147" t="inlineStr">
        <is>
          <t>Kolahun - Playground</t>
        </is>
      </c>
      <c r="F147" t="inlineStr">
        <is>
          <t>Playground</t>
        </is>
      </c>
      <c r="G147" t="inlineStr">
        <is>
          <t>Soil</t>
        </is>
      </c>
      <c r="H147" t="inlineStr">
        <is>
          <t>Mercury</t>
        </is>
      </c>
      <c r="I147" t="n">
        <v>0.2</v>
      </c>
      <c r="J147" t="inlineStr">
        <is>
          <t>mg/kg</t>
        </is>
      </c>
      <c r="K147" t="n">
        <v>0</v>
      </c>
      <c r="L147" t="n">
        <v>1</v>
      </c>
      <c r="M147" t="str">
        <f>IF(AND(I147&gt;=K147,I147&lt;=L147),"Yes","No")</f>
        <v>Yes</v>
      </c>
      <c r="N147" s="34">
        <f>IF(L147=0,"",I147/L147)</f>
        <v>0.2</v>
      </c>
      <c r="O147" s="33" t="n">
        <v>0</v>
      </c>
      <c r="P147" t="inlineStr">
        <is>
          <t>Foya Health Center</t>
        </is>
      </c>
      <c r="Q147" t="inlineStr">
        <is>
          <t>T. Mulbah</t>
        </is>
      </c>
    </row>
    <row r="148">
      <c r="A148" t="inlineStr">
        <is>
          <t>AQ-2026-00145</t>
        </is>
      </c>
      <c r="B148" s="32" t="n">
        <v>46107</v>
      </c>
      <c r="C148" s="33">
        <f>MONTH(B148)</f>
        <v>3</v>
      </c>
      <c r="D148" t="inlineStr">
        <is>
          <t>Margibi</t>
        </is>
      </c>
      <c r="E148" t="inlineStr">
        <is>
          <t>Firestone - Residential Area</t>
        </is>
      </c>
      <c r="F148" t="inlineStr">
        <is>
          <t>Residential Area</t>
        </is>
      </c>
      <c r="G148" t="inlineStr">
        <is>
          <t>Air</t>
        </is>
      </c>
      <c r="H148" t="inlineStr">
        <is>
          <t>PM2.5</t>
        </is>
      </c>
      <c r="I148" t="n">
        <v>2.6</v>
      </c>
      <c r="J148" t="inlineStr">
        <is>
          <t>ug/m3</t>
        </is>
      </c>
      <c r="K148" t="n">
        <v>0</v>
      </c>
      <c r="L148" t="n">
        <v>25</v>
      </c>
      <c r="M148" t="str">
        <f>IF(AND(I148&gt;=K148,I148&lt;=L148),"Yes","No")</f>
        <v>Yes</v>
      </c>
      <c r="N148" s="34">
        <f>IF(L148=0,"",I148/L148)</f>
        <v>0.104</v>
      </c>
      <c r="O148" s="33" t="n">
        <v>0</v>
      </c>
      <c r="P148" t="inlineStr">
        <is>
          <t>Harbel Health Center</t>
        </is>
      </c>
      <c r="Q148" t="inlineStr">
        <is>
          <t>H. Zolia</t>
        </is>
      </c>
    </row>
    <row r="149">
      <c r="A149" t="inlineStr">
        <is>
          <t>WQ-2026-00146</t>
        </is>
      </c>
      <c r="B149" s="32" t="n">
        <v>46086</v>
      </c>
      <c r="C149" s="33">
        <f>MONTH(B149)</f>
        <v>3</v>
      </c>
      <c r="D149" t="inlineStr">
        <is>
          <t>Grand Cape Mount</t>
        </is>
      </c>
      <c r="E149" t="inlineStr">
        <is>
          <t>Robertsport - Health Facility Supply</t>
        </is>
      </c>
      <c r="F149" t="inlineStr">
        <is>
          <t>Health Facility Supply</t>
        </is>
      </c>
      <c r="G149" t="inlineStr">
        <is>
          <t>Water</t>
        </is>
      </c>
      <c r="H149" t="inlineStr">
        <is>
          <t>Lead</t>
        </is>
      </c>
      <c r="I149" t="n">
        <v>0.008500000000000001</v>
      </c>
      <c r="J149" t="inlineStr">
        <is>
          <t>mg/L</t>
        </is>
      </c>
      <c r="K149" t="n">
        <v>0</v>
      </c>
      <c r="L149" t="n">
        <v>0.01</v>
      </c>
      <c r="M149" t="str">
        <f>IF(AND(I149&gt;=K149,I149&lt;=L149),"Yes","No")</f>
        <v>Yes</v>
      </c>
      <c r="N149" s="34">
        <f>IF(L149=0,"",I149/L149)</f>
        <v>0.85</v>
      </c>
      <c r="O149" s="33" t="n">
        <v>750</v>
      </c>
      <c r="P149" t="inlineStr">
        <is>
          <t>Sinje Health Center</t>
        </is>
      </c>
      <c r="Q149" t="inlineStr">
        <is>
          <t>F. Gbato</t>
        </is>
      </c>
    </row>
    <row r="150">
      <c r="A150" t="inlineStr">
        <is>
          <t>WQ-2026-00147</t>
        </is>
      </c>
      <c r="B150" s="32" t="n">
        <v>46088</v>
      </c>
      <c r="C150" s="33">
        <f>MONTH(B150)</f>
        <v>3</v>
      </c>
      <c r="D150" t="inlineStr">
        <is>
          <t>Montserrado</t>
        </is>
      </c>
      <c r="E150" t="inlineStr">
        <is>
          <t>New Kru Town - Health Facility Supply</t>
        </is>
      </c>
      <c r="F150" t="inlineStr">
        <is>
          <t>Health Facility Supply</t>
        </is>
      </c>
      <c r="G150" t="inlineStr">
        <is>
          <t>Water</t>
        </is>
      </c>
      <c r="H150" t="inlineStr">
        <is>
          <t>Total Coliform</t>
        </is>
      </c>
      <c r="I150" t="n">
        <v>0</v>
      </c>
      <c r="J150" t="inlineStr">
        <is>
          <t>CFU/100 mL</t>
        </is>
      </c>
      <c r="K150" t="n">
        <v>0</v>
      </c>
      <c r="L150" t="n">
        <v>0</v>
      </c>
      <c r="M150" t="str">
        <f>IF(AND(I150&gt;=K150,I150&lt;=L150),"Yes","No")</f>
        <v>Yes</v>
      </c>
      <c r="N150" s="34">
        <f>IF(L150=0,"",I150/L150)</f>
        <v/>
      </c>
      <c r="O150" s="33" t="n">
        <v>500</v>
      </c>
      <c r="P150" t="inlineStr">
        <is>
          <t>Redemption Hospital</t>
        </is>
      </c>
      <c r="Q150" t="inlineStr">
        <is>
          <t>P. Wleh</t>
        </is>
      </c>
    </row>
    <row r="151">
      <c r="A151" t="inlineStr">
        <is>
          <t>WQ-2026-00148</t>
        </is>
      </c>
      <c r="B151" s="32" t="n">
        <v>46111</v>
      </c>
      <c r="C151" s="33">
        <f>MONTH(B151)</f>
        <v>3</v>
      </c>
      <c r="D151" t="inlineStr">
        <is>
          <t>Margibi</t>
        </is>
      </c>
      <c r="E151" t="inlineStr">
        <is>
          <t>Harbel - Public Tap Stand</t>
        </is>
      </c>
      <c r="F151" t="inlineStr">
        <is>
          <t>Public Tap Stand</t>
        </is>
      </c>
      <c r="G151" t="inlineStr">
        <is>
          <t>Water</t>
        </is>
      </c>
      <c r="H151" t="inlineStr">
        <is>
          <t>Manganese</t>
        </is>
      </c>
      <c r="I151" t="n">
        <v>1.09</v>
      </c>
      <c r="J151" t="inlineStr">
        <is>
          <t>mg/L</t>
        </is>
      </c>
      <c r="K151" t="n">
        <v>0</v>
      </c>
      <c r="L151" t="n">
        <v>0.4</v>
      </c>
      <c r="M151" t="str">
        <f>IF(AND(I151&gt;=K151,I151&lt;=L151),"Yes","No")</f>
        <v>No</v>
      </c>
      <c r="N151" s="34">
        <f>IF(L151=0,"",I151/L151)</f>
        <v>2.725</v>
      </c>
      <c r="O151" s="33" t="n">
        <v>240</v>
      </c>
      <c r="P151" t="inlineStr">
        <is>
          <t>C.H. Rennie Hospital</t>
        </is>
      </c>
      <c r="Q151" t="inlineStr">
        <is>
          <t>E. Sebo</t>
        </is>
      </c>
    </row>
    <row r="152">
      <c r="A152" t="inlineStr">
        <is>
          <t>AQ-2026-00149</t>
        </is>
      </c>
      <c r="B152" s="32" t="n">
        <v>46110</v>
      </c>
      <c r="C152" s="33">
        <f>MONTH(B152)</f>
        <v>3</v>
      </c>
      <c r="D152" t="inlineStr">
        <is>
          <t>Grand Bassa</t>
        </is>
      </c>
      <c r="E152" t="inlineStr">
        <is>
          <t>Golden Veroleum Palm Oil</t>
        </is>
      </c>
      <c r="F152" t="inlineStr">
        <is>
          <t>Industrial Perimeter</t>
        </is>
      </c>
      <c r="G152" t="inlineStr">
        <is>
          <t>Air</t>
        </is>
      </c>
      <c r="H152" t="inlineStr">
        <is>
          <t>PM10</t>
        </is>
      </c>
      <c r="I152" t="n">
        <v>158.6</v>
      </c>
      <c r="J152" t="inlineStr">
        <is>
          <t>ug/m3</t>
        </is>
      </c>
      <c r="K152" t="n">
        <v>0</v>
      </c>
      <c r="L152" t="n">
        <v>50</v>
      </c>
      <c r="M152" t="str">
        <f>IF(AND(I152&gt;=K152,I152&lt;=L152),"Yes","No")</f>
        <v>No</v>
      </c>
      <c r="N152" s="34">
        <f>IF(L152=0,"",I152/L152)</f>
        <v>3.172</v>
      </c>
      <c r="O152" s="33" t="n">
        <v>2200</v>
      </c>
      <c r="P152" t="inlineStr">
        <is>
          <t>Buchanan Government Hospital</t>
        </is>
      </c>
      <c r="Q152" t="inlineStr">
        <is>
          <t>T. Mulbah</t>
        </is>
      </c>
    </row>
    <row r="153">
      <c r="A153" t="inlineStr">
        <is>
          <t>WQ-2026-00150</t>
        </is>
      </c>
      <c r="B153" s="32" t="n">
        <v>46084</v>
      </c>
      <c r="C153" s="33">
        <f>MONTH(B153)</f>
        <v>3</v>
      </c>
      <c r="D153" t="inlineStr">
        <is>
          <t>Sinoe</t>
        </is>
      </c>
      <c r="E153" t="inlineStr">
        <is>
          <t>Juazon - Public Tap Stand</t>
        </is>
      </c>
      <c r="F153" t="inlineStr">
        <is>
          <t>Public Tap Stand</t>
        </is>
      </c>
      <c r="G153" t="inlineStr">
        <is>
          <t>Water</t>
        </is>
      </c>
      <c r="H153" t="inlineStr">
        <is>
          <t>Manganese</t>
        </is>
      </c>
      <c r="I153" t="n">
        <v>0.18</v>
      </c>
      <c r="J153" t="inlineStr">
        <is>
          <t>mg/L</t>
        </is>
      </c>
      <c r="K153" t="n">
        <v>0</v>
      </c>
      <c r="L153" t="n">
        <v>0.4</v>
      </c>
      <c r="M153" t="str">
        <f>IF(AND(I153&gt;=K153,I153&lt;=L153),"Yes","No")</f>
        <v>Yes</v>
      </c>
      <c r="N153" s="34">
        <f>IF(L153=0,"",I153/L153)</f>
        <v>0.45</v>
      </c>
      <c r="O153" s="33" t="n">
        <v>240</v>
      </c>
      <c r="P153" t="inlineStr">
        <is>
          <t>Greenville Health Center</t>
        </is>
      </c>
      <c r="Q153" t="inlineStr">
        <is>
          <t>P. Wleh</t>
        </is>
      </c>
    </row>
    <row r="154">
      <c r="A154" t="inlineStr">
        <is>
          <t>WQ-2026-00151</t>
        </is>
      </c>
      <c r="B154" s="32" t="n">
        <v>46105</v>
      </c>
      <c r="C154" s="33">
        <f>MONTH(B154)</f>
        <v>3</v>
      </c>
      <c r="D154" t="inlineStr">
        <is>
          <t>Montserrado</t>
        </is>
      </c>
      <c r="E154" t="inlineStr">
        <is>
          <t>Paynesville - Public Tap Stand</t>
        </is>
      </c>
      <c r="F154" t="inlineStr">
        <is>
          <t>Public Tap Stand</t>
        </is>
      </c>
      <c r="G154" t="inlineStr">
        <is>
          <t>Water</t>
        </is>
      </c>
      <c r="H154" t="inlineStr">
        <is>
          <t>Nitrate (as NO3)</t>
        </is>
      </c>
      <c r="I154" t="n">
        <v>3.9</v>
      </c>
      <c r="J154" t="inlineStr">
        <is>
          <t>mg/L</t>
        </is>
      </c>
      <c r="K154" t="n">
        <v>0</v>
      </c>
      <c r="L154" t="n">
        <v>10</v>
      </c>
      <c r="M154" t="str">
        <f>IF(AND(I154&gt;=K154,I154&lt;=L154),"Yes","No")</f>
        <v>Yes</v>
      </c>
      <c r="N154" s="34">
        <f>IF(L154=0,"",I154/L154)</f>
        <v>0.39</v>
      </c>
      <c r="O154" s="33" t="n">
        <v>2500</v>
      </c>
      <c r="P154" t="inlineStr">
        <is>
          <t>JFK Memorial Hospital</t>
        </is>
      </c>
      <c r="Q154" t="inlineStr">
        <is>
          <t>T. Mulbah</t>
        </is>
      </c>
    </row>
    <row r="155">
      <c r="A155" t="inlineStr">
        <is>
          <t>WQ-2026-00152</t>
        </is>
      </c>
      <c r="B155" s="32" t="n">
        <v>46082</v>
      </c>
      <c r="C155" s="33">
        <f>MONTH(B155)</f>
        <v>3</v>
      </c>
      <c r="D155" t="inlineStr">
        <is>
          <t>Montserrado</t>
        </is>
      </c>
      <c r="E155" t="inlineStr">
        <is>
          <t>New Kru Town - Community Borehole</t>
        </is>
      </c>
      <c r="F155" t="inlineStr">
        <is>
          <t>Community Borehole</t>
        </is>
      </c>
      <c r="G155" t="inlineStr">
        <is>
          <t>Water</t>
        </is>
      </c>
      <c r="H155" t="inlineStr">
        <is>
          <t>Lead</t>
        </is>
      </c>
      <c r="I155" t="n">
        <v>0.0076</v>
      </c>
      <c r="J155" t="inlineStr">
        <is>
          <t>mg/L</t>
        </is>
      </c>
      <c r="K155" t="n">
        <v>0</v>
      </c>
      <c r="L155" t="n">
        <v>0.01</v>
      </c>
      <c r="M155" t="str">
        <f>IF(AND(I155&gt;=K155,I155&lt;=L155),"Yes","No")</f>
        <v>Yes</v>
      </c>
      <c r="N155" s="34">
        <f>IF(L155=0,"",I155/L155)</f>
        <v>0.76</v>
      </c>
      <c r="O155" s="33" t="n">
        <v>750</v>
      </c>
      <c r="P155" t="inlineStr">
        <is>
          <t>Redemption Hospital</t>
        </is>
      </c>
      <c r="Q155" t="inlineStr">
        <is>
          <t>S. Dolo</t>
        </is>
      </c>
    </row>
    <row r="156">
      <c r="A156" t="inlineStr">
        <is>
          <t>WQ-2026-00153</t>
        </is>
      </c>
      <c r="B156" s="32" t="n">
        <v>46101</v>
      </c>
      <c r="C156" s="33">
        <f>MONTH(B156)</f>
        <v>3</v>
      </c>
      <c r="D156" t="inlineStr">
        <is>
          <t>Grand Gedeh</t>
        </is>
      </c>
      <c r="E156" t="inlineStr">
        <is>
          <t>Toe Town - Community Borehole</t>
        </is>
      </c>
      <c r="F156" t="inlineStr">
        <is>
          <t>Community Borehole</t>
        </is>
      </c>
      <c r="G156" t="inlineStr">
        <is>
          <t>Water</t>
        </is>
      </c>
      <c r="H156" t="inlineStr">
        <is>
          <t>Arsenic</t>
        </is>
      </c>
      <c r="I156" t="n">
        <v>0.008699999999999999</v>
      </c>
      <c r="J156" t="inlineStr">
        <is>
          <t>mg/L</t>
        </is>
      </c>
      <c r="K156" t="n">
        <v>0</v>
      </c>
      <c r="L156" t="n">
        <v>0.01</v>
      </c>
      <c r="M156" t="str">
        <f>IF(AND(I156&gt;=K156,I156&lt;=L156),"Yes","No")</f>
        <v>Yes</v>
      </c>
      <c r="N156" s="34">
        <f>IF(L156=0,"",I156/L156)</f>
        <v>0.87</v>
      </c>
      <c r="O156" s="33" t="n">
        <v>900</v>
      </c>
      <c r="P156" t="inlineStr">
        <is>
          <t>Martha Tubman Memorial Hospital</t>
        </is>
      </c>
      <c r="Q156" t="inlineStr">
        <is>
          <t>B. Kpadeh</t>
        </is>
      </c>
    </row>
    <row r="157">
      <c r="A157" t="inlineStr">
        <is>
          <t>SL-2026-00154</t>
        </is>
      </c>
      <c r="B157" s="32" t="n">
        <v>46085</v>
      </c>
      <c r="C157" s="33">
        <f>MONTH(B157)</f>
        <v>3</v>
      </c>
      <c r="D157" t="inlineStr">
        <is>
          <t>Montserrado</t>
        </is>
      </c>
      <c r="E157" t="inlineStr">
        <is>
          <t>Paynesville - Industrial Site</t>
        </is>
      </c>
      <c r="F157" t="inlineStr">
        <is>
          <t>Industrial Site</t>
        </is>
      </c>
      <c r="G157" t="inlineStr">
        <is>
          <t>Soil</t>
        </is>
      </c>
      <c r="H157" t="inlineStr">
        <is>
          <t>Mercury</t>
        </is>
      </c>
      <c r="I157" t="n">
        <v>0.1</v>
      </c>
      <c r="J157" t="inlineStr">
        <is>
          <t>mg/kg</t>
        </is>
      </c>
      <c r="K157" t="n">
        <v>0</v>
      </c>
      <c r="L157" t="n">
        <v>1</v>
      </c>
      <c r="M157" t="str">
        <f>IF(AND(I157&gt;=K157,I157&lt;=L157),"Yes","No")</f>
        <v>Yes</v>
      </c>
      <c r="N157" s="34">
        <f>IF(L157=0,"",I157/L157)</f>
        <v>0.1</v>
      </c>
      <c r="O157" s="33" t="n">
        <v>800</v>
      </c>
      <c r="P157" t="inlineStr">
        <is>
          <t>Redemption Hospital</t>
        </is>
      </c>
      <c r="Q157" t="inlineStr">
        <is>
          <t>S. Dolo</t>
        </is>
      </c>
    </row>
    <row r="158">
      <c r="A158" t="inlineStr">
        <is>
          <t>WQ-2026-00155</t>
        </is>
      </c>
      <c r="B158" s="32" t="n">
        <v>46088</v>
      </c>
      <c r="C158" s="33">
        <f>MONTH(B158)</f>
        <v>3</v>
      </c>
      <c r="D158" t="inlineStr">
        <is>
          <t>Montserrado</t>
        </is>
      </c>
      <c r="E158" t="inlineStr">
        <is>
          <t>Brewerville - Hand-Dug Well</t>
        </is>
      </c>
      <c r="F158" t="inlineStr">
        <is>
          <t>Hand-Dug Well</t>
        </is>
      </c>
      <c r="G158" t="inlineStr">
        <is>
          <t>Water</t>
        </is>
      </c>
      <c r="H158" t="inlineStr">
        <is>
          <t>Lead</t>
        </is>
      </c>
      <c r="I158" t="n">
        <v>0.0005</v>
      </c>
      <c r="J158" t="inlineStr">
        <is>
          <t>mg/L</t>
        </is>
      </c>
      <c r="K158" t="n">
        <v>0</v>
      </c>
      <c r="L158" t="n">
        <v>0.01</v>
      </c>
      <c r="M158" t="str">
        <f>IF(AND(I158&gt;=K158,I158&lt;=L158),"Yes","No")</f>
        <v>Yes</v>
      </c>
      <c r="N158" s="34">
        <f>IF(L158=0,"",I158/L158)</f>
        <v>0.05</v>
      </c>
      <c r="O158" s="33" t="n">
        <v>240</v>
      </c>
      <c r="P158" t="inlineStr">
        <is>
          <t>JFK Memorial Hospital</t>
        </is>
      </c>
      <c r="Q158" t="inlineStr">
        <is>
          <t>S. Dolo</t>
        </is>
      </c>
    </row>
    <row r="159">
      <c r="A159" t="inlineStr">
        <is>
          <t>RD-2026-00156</t>
        </is>
      </c>
      <c r="B159" s="32" t="n">
        <v>46084</v>
      </c>
      <c r="C159" s="33">
        <f>MONTH(B159)</f>
        <v>3</v>
      </c>
      <c r="D159" t="inlineStr">
        <is>
          <t>Bong</t>
        </is>
      </c>
      <c r="E159" t="inlineStr">
        <is>
          <t>Palala - Medical Facility</t>
        </is>
      </c>
      <c r="F159" t="inlineStr">
        <is>
          <t>Medical Facility</t>
        </is>
      </c>
      <c r="G159" t="inlineStr">
        <is>
          <t>Ambient Radiation</t>
        </is>
      </c>
      <c r="H159" t="inlineStr">
        <is>
          <t>Gamma Dose Rate</t>
        </is>
      </c>
      <c r="I159" t="n">
        <v>0.06</v>
      </c>
      <c r="J159" t="inlineStr">
        <is>
          <t>uSv/h</t>
        </is>
      </c>
      <c r="K159" t="n">
        <v>0</v>
      </c>
      <c r="L159" t="n">
        <v>0.3</v>
      </c>
      <c r="M159" t="str">
        <f>IF(AND(I159&gt;=K159,I159&lt;=L159),"Yes","No")</f>
        <v>Yes</v>
      </c>
      <c r="N159" s="34">
        <f>IF(L159=0,"",I159/L159)</f>
        <v>0.2</v>
      </c>
      <c r="O159" s="33" t="n">
        <v>0</v>
      </c>
      <c r="P159" t="inlineStr">
        <is>
          <t>Suakoko Clinic</t>
        </is>
      </c>
      <c r="Q159" t="inlineStr">
        <is>
          <t>J. Nyeman</t>
        </is>
      </c>
    </row>
    <row r="160">
      <c r="A160" t="inlineStr">
        <is>
          <t>WQ-2026-00157</t>
        </is>
      </c>
      <c r="B160" s="32" t="n">
        <v>46107</v>
      </c>
      <c r="C160" s="33">
        <f>MONTH(B160)</f>
        <v>3</v>
      </c>
      <c r="D160" t="inlineStr">
        <is>
          <t>Margibi</t>
        </is>
      </c>
      <c r="E160" t="inlineStr">
        <is>
          <t>Weala - Public Tap Stand</t>
        </is>
      </c>
      <c r="F160" t="inlineStr">
        <is>
          <t>Public Tap Stand</t>
        </is>
      </c>
      <c r="G160" t="inlineStr">
        <is>
          <t>Water</t>
        </is>
      </c>
      <c r="H160" t="inlineStr">
        <is>
          <t>Iron</t>
        </is>
      </c>
      <c r="I160" t="n">
        <v>0.23</v>
      </c>
      <c r="J160" t="inlineStr">
        <is>
          <t>mg/L</t>
        </is>
      </c>
      <c r="K160" t="n">
        <v>0</v>
      </c>
      <c r="L160" t="n">
        <v>0.3</v>
      </c>
      <c r="M160" t="str">
        <f>IF(AND(I160&gt;=K160,I160&lt;=L160),"Yes","No")</f>
        <v>Yes</v>
      </c>
      <c r="N160" s="34">
        <f>IF(L160=0,"",I160/L160)</f>
        <v>0.7666666667</v>
      </c>
      <c r="O160" s="33" t="n">
        <v>750</v>
      </c>
      <c r="P160" t="inlineStr">
        <is>
          <t>C.H. Rennie Hospital</t>
        </is>
      </c>
      <c r="Q160" t="inlineStr">
        <is>
          <t>P. Wleh</t>
        </is>
      </c>
    </row>
    <row r="161">
      <c r="A161" t="inlineStr">
        <is>
          <t>WQ-2026-00158</t>
        </is>
      </c>
      <c r="B161" s="32" t="n">
        <v>46097</v>
      </c>
      <c r="C161" s="33">
        <f>MONTH(B161)</f>
        <v>3</v>
      </c>
      <c r="D161" t="inlineStr">
        <is>
          <t>Bong</t>
        </is>
      </c>
      <c r="E161" t="inlineStr">
        <is>
          <t>Suakoko - Hand-Dug Well</t>
        </is>
      </c>
      <c r="F161" t="inlineStr">
        <is>
          <t>Hand-Dug Well</t>
        </is>
      </c>
      <c r="G161" t="inlineStr">
        <is>
          <t>Water</t>
        </is>
      </c>
      <c r="H161" t="inlineStr">
        <is>
          <t>Nitrate (as NO3)</t>
        </is>
      </c>
      <c r="I161" t="n">
        <v>0.8</v>
      </c>
      <c r="J161" t="inlineStr">
        <is>
          <t>mg/L</t>
        </is>
      </c>
      <c r="K161" t="n">
        <v>0</v>
      </c>
      <c r="L161" t="n">
        <v>10</v>
      </c>
      <c r="M161" t="str">
        <f>IF(AND(I161&gt;=K161,I161&lt;=L161),"Yes","No")</f>
        <v>Yes</v>
      </c>
      <c r="N161" s="34">
        <f>IF(L161=0,"",I161/L161)</f>
        <v>0.08</v>
      </c>
      <c r="O161" s="33" t="n">
        <v>120</v>
      </c>
      <c r="P161" t="inlineStr">
        <is>
          <t>Gbarnga Health Center</t>
        </is>
      </c>
      <c r="Q161" t="inlineStr">
        <is>
          <t>T. Mulbah</t>
        </is>
      </c>
    </row>
    <row r="162">
      <c r="A162" t="inlineStr">
        <is>
          <t>SL-2026-00159</t>
        </is>
      </c>
      <c r="B162" s="32" t="n">
        <v>46110</v>
      </c>
      <c r="C162" s="33">
        <f>MONTH(B162)</f>
        <v>3</v>
      </c>
      <c r="D162" t="inlineStr">
        <is>
          <t>Montserrado</t>
        </is>
      </c>
      <c r="E162" t="inlineStr">
        <is>
          <t>New Kru Town - School Grounds</t>
        </is>
      </c>
      <c r="F162" t="inlineStr">
        <is>
          <t>School Grounds</t>
        </is>
      </c>
      <c r="G162" t="inlineStr">
        <is>
          <t>Soil</t>
        </is>
      </c>
      <c r="H162" t="inlineStr">
        <is>
          <t>Arsenic</t>
        </is>
      </c>
      <c r="I162" t="n">
        <v>3.2</v>
      </c>
      <c r="J162" t="inlineStr">
        <is>
          <t>mg/kg</t>
        </is>
      </c>
      <c r="K162" t="n">
        <v>0</v>
      </c>
      <c r="L162" t="n">
        <v>20</v>
      </c>
      <c r="M162" t="str">
        <f>IF(AND(I162&gt;=K162,I162&lt;=L162),"Yes","No")</f>
        <v>Yes</v>
      </c>
      <c r="N162" s="34">
        <f>IF(L162=0,"",I162/L162)</f>
        <v>0.16</v>
      </c>
      <c r="O162" s="33" t="n">
        <v>800</v>
      </c>
      <c r="P162" t="inlineStr">
        <is>
          <t>Benson Hospital</t>
        </is>
      </c>
      <c r="Q162" t="inlineStr">
        <is>
          <t>J. Nyeman</t>
        </is>
      </c>
    </row>
    <row r="163">
      <c r="A163" t="inlineStr">
        <is>
          <t>WQ-2026-00160</t>
        </is>
      </c>
      <c r="B163" s="32" t="n">
        <v>46095</v>
      </c>
      <c r="C163" s="33">
        <f>MONTH(B163)</f>
        <v>3</v>
      </c>
      <c r="D163" t="inlineStr">
        <is>
          <t>Montserrado</t>
        </is>
      </c>
      <c r="E163" t="inlineStr">
        <is>
          <t>Sinkor - Public Tap Stand</t>
        </is>
      </c>
      <c r="F163" t="inlineStr">
        <is>
          <t>Public Tap Stand</t>
        </is>
      </c>
      <c r="G163" t="inlineStr">
        <is>
          <t>Water</t>
        </is>
      </c>
      <c r="H163" t="inlineStr">
        <is>
          <t>Total Coliform</t>
        </is>
      </c>
      <c r="I163" t="n">
        <v>0</v>
      </c>
      <c r="J163" t="inlineStr">
        <is>
          <t>CFU/100 mL</t>
        </is>
      </c>
      <c r="K163" t="n">
        <v>0</v>
      </c>
      <c r="L163" t="n">
        <v>0</v>
      </c>
      <c r="M163" t="str">
        <f>IF(AND(I163&gt;=K163,I163&lt;=L163),"Yes","No")</f>
        <v>Yes</v>
      </c>
      <c r="N163" s="34">
        <f>IF(L163=0,"",I163/L163)</f>
        <v/>
      </c>
      <c r="O163" s="33" t="n">
        <v>350</v>
      </c>
      <c r="P163" t="inlineStr">
        <is>
          <t>Benson Hospital</t>
        </is>
      </c>
      <c r="Q163" t="inlineStr">
        <is>
          <t>B. Kpadeh</t>
        </is>
      </c>
    </row>
    <row r="164">
      <c r="A164" t="inlineStr">
        <is>
          <t>AQ-2026-00161</t>
        </is>
      </c>
      <c r="B164" s="32" t="n">
        <v>46088</v>
      </c>
      <c r="C164" s="33">
        <f>MONTH(B164)</f>
        <v>3</v>
      </c>
      <c r="D164" t="inlineStr">
        <is>
          <t>Bong</t>
        </is>
      </c>
      <c r="E164" t="inlineStr">
        <is>
          <t>Liberia Petroleum Refinery</t>
        </is>
      </c>
      <c r="F164" t="inlineStr">
        <is>
          <t>Industrial Perimeter</t>
        </is>
      </c>
      <c r="G164" t="inlineStr">
        <is>
          <t>Air</t>
        </is>
      </c>
      <c r="H164" t="inlineStr">
        <is>
          <t>Nitrogen Dioxide (NO2)</t>
        </is>
      </c>
      <c r="I164" t="n">
        <v>5.5</v>
      </c>
      <c r="J164" t="inlineStr">
        <is>
          <t>ug/m3</t>
        </is>
      </c>
      <c r="K164" t="n">
        <v>0</v>
      </c>
      <c r="L164" t="n">
        <v>40</v>
      </c>
      <c r="M164" t="str">
        <f>IF(AND(I164&gt;=K164,I164&lt;=L164),"Yes","No")</f>
        <v>Yes</v>
      </c>
      <c r="N164" s="34">
        <f>IF(L164=0,"",I164/L164)</f>
        <v>0.1375</v>
      </c>
      <c r="O164" s="33" t="n">
        <v>0</v>
      </c>
      <c r="P164" t="inlineStr">
        <is>
          <t>Suakoko Clinic</t>
        </is>
      </c>
      <c r="Q164" t="inlineStr">
        <is>
          <t>S. Dolo</t>
        </is>
      </c>
    </row>
    <row r="165">
      <c r="A165" t="inlineStr">
        <is>
          <t>AQ-2026-00162</t>
        </is>
      </c>
      <c r="B165" s="32" t="n">
        <v>46091</v>
      </c>
      <c r="C165" s="33">
        <f>MONTH(B165)</f>
        <v>3</v>
      </c>
      <c r="D165" t="inlineStr">
        <is>
          <t>Grand Cape Mount</t>
        </is>
      </c>
      <c r="E165" t="inlineStr">
        <is>
          <t>Sinje - Industrial Perimeter</t>
        </is>
      </c>
      <c r="F165" t="inlineStr">
        <is>
          <t>Industrial Perimeter</t>
        </is>
      </c>
      <c r="G165" t="inlineStr">
        <is>
          <t>Air</t>
        </is>
      </c>
      <c r="H165" t="inlineStr">
        <is>
          <t>Nitrogen Dioxide (NO2)</t>
        </is>
      </c>
      <c r="I165" t="n">
        <v>104.3</v>
      </c>
      <c r="J165" t="inlineStr">
        <is>
          <t>ug/m3</t>
        </is>
      </c>
      <c r="K165" t="n">
        <v>0</v>
      </c>
      <c r="L165" t="n">
        <v>40</v>
      </c>
      <c r="M165" t="str">
        <f>IF(AND(I165&gt;=K165,I165&lt;=L165),"Yes","No")</f>
        <v>No</v>
      </c>
      <c r="N165" s="34">
        <f>IF(L165=0,"",I165/L165)</f>
        <v>2.6075</v>
      </c>
      <c r="O165" s="33" t="n">
        <v>6000</v>
      </c>
      <c r="P165" t="inlineStr">
        <is>
          <t>Sinje Health Center</t>
        </is>
      </c>
      <c r="Q165" t="inlineStr">
        <is>
          <t>E. Sebo</t>
        </is>
      </c>
    </row>
    <row r="166">
      <c r="A166" t="inlineStr">
        <is>
          <t>WQ-2026-00163</t>
        </is>
      </c>
      <c r="B166" s="32" t="n">
        <v>46093</v>
      </c>
      <c r="C166" s="33">
        <f>MONTH(B166)</f>
        <v>3</v>
      </c>
      <c r="D166" t="inlineStr">
        <is>
          <t>Grand Bassa</t>
        </is>
      </c>
      <c r="E166" t="inlineStr">
        <is>
          <t>St. John River - Hand-Dug Well</t>
        </is>
      </c>
      <c r="F166" t="inlineStr">
        <is>
          <t>Hand-Dug Well</t>
        </is>
      </c>
      <c r="G166" t="inlineStr">
        <is>
          <t>Water</t>
        </is>
      </c>
      <c r="H166" t="inlineStr">
        <is>
          <t>Turbidity</t>
        </is>
      </c>
      <c r="I166" t="n">
        <v>4.1</v>
      </c>
      <c r="J166" t="inlineStr">
        <is>
          <t>NTU</t>
        </is>
      </c>
      <c r="K166" t="n">
        <v>0</v>
      </c>
      <c r="L166" t="n">
        <v>5</v>
      </c>
      <c r="M166" t="str">
        <f>IF(AND(I166&gt;=K166,I166&lt;=L166),"Yes","No")</f>
        <v>Yes</v>
      </c>
      <c r="N166" s="34">
        <f>IF(L166=0,"",I166/L166)</f>
        <v>0.82</v>
      </c>
      <c r="O166" s="33" t="n">
        <v>750</v>
      </c>
      <c r="P166" t="inlineStr">
        <is>
          <t>Edina Health Center</t>
        </is>
      </c>
      <c r="Q166" t="inlineStr">
        <is>
          <t>H. Zolia</t>
        </is>
      </c>
    </row>
    <row r="167">
      <c r="A167" t="inlineStr">
        <is>
          <t>WQ-2026-00164</t>
        </is>
      </c>
      <c r="B167" s="32" t="n">
        <v>46086</v>
      </c>
      <c r="C167" s="33">
        <f>MONTH(B167)</f>
        <v>3</v>
      </c>
      <c r="D167" t="inlineStr">
        <is>
          <t>Montserrado</t>
        </is>
      </c>
      <c r="E167" t="inlineStr">
        <is>
          <t>New Kru Town - Public Tap Stand</t>
        </is>
      </c>
      <c r="F167" t="inlineStr">
        <is>
          <t>Public Tap Stand</t>
        </is>
      </c>
      <c r="G167" t="inlineStr">
        <is>
          <t>Water</t>
        </is>
      </c>
      <c r="H167" t="inlineStr">
        <is>
          <t>Arsenic</t>
        </is>
      </c>
      <c r="I167" t="n">
        <v>0.0067</v>
      </c>
      <c r="J167" t="inlineStr">
        <is>
          <t>mg/L</t>
        </is>
      </c>
      <c r="K167" t="n">
        <v>0</v>
      </c>
      <c r="L167" t="n">
        <v>0.01</v>
      </c>
      <c r="M167" t="str">
        <f>IF(AND(I167&gt;=K167,I167&lt;=L167),"Yes","No")</f>
        <v>Yes</v>
      </c>
      <c r="N167" s="34">
        <f>IF(L167=0,"",I167/L167)</f>
        <v>0.67</v>
      </c>
      <c r="O167" s="33" t="n">
        <v>900</v>
      </c>
      <c r="P167" t="inlineStr">
        <is>
          <t>JFK Memorial Hospital</t>
        </is>
      </c>
      <c r="Q167" t="inlineStr">
        <is>
          <t>E. Sebo</t>
        </is>
      </c>
    </row>
    <row r="168">
      <c r="A168" t="inlineStr">
        <is>
          <t>SL-2026-00165</t>
        </is>
      </c>
      <c r="B168" s="32" t="n">
        <v>46089</v>
      </c>
      <c r="C168" s="33">
        <f>MONTH(B168)</f>
        <v>3</v>
      </c>
      <c r="D168" t="inlineStr">
        <is>
          <t>Nimba</t>
        </is>
      </c>
      <c r="E168" t="inlineStr">
        <is>
          <t>Karnplay - School Grounds</t>
        </is>
      </c>
      <c r="F168" t="inlineStr">
        <is>
          <t>School Grounds</t>
        </is>
      </c>
      <c r="G168" t="inlineStr">
        <is>
          <t>Soil</t>
        </is>
      </c>
      <c r="H168" t="inlineStr">
        <is>
          <t>Lead</t>
        </is>
      </c>
      <c r="I168" t="n">
        <v>83</v>
      </c>
      <c r="J168" t="inlineStr">
        <is>
          <t>mg/kg</t>
        </is>
      </c>
      <c r="K168" t="n">
        <v>0</v>
      </c>
      <c r="L168" t="n">
        <v>100</v>
      </c>
      <c r="M168" t="str">
        <f>IF(AND(I168&gt;=K168,I168&lt;=L168),"Yes","No")</f>
        <v>Yes</v>
      </c>
      <c r="N168" s="34">
        <f>IF(L168=0,"",I168/L168)</f>
        <v>0.83</v>
      </c>
      <c r="O168" s="33" t="n">
        <v>0</v>
      </c>
      <c r="P168" t="inlineStr">
        <is>
          <t>Ganta United Methodist Hospital</t>
        </is>
      </c>
      <c r="Q168" t="inlineStr">
        <is>
          <t>S. Dolo</t>
        </is>
      </c>
    </row>
    <row r="169">
      <c r="A169" t="inlineStr">
        <is>
          <t>SL-2026-00166</t>
        </is>
      </c>
      <c r="B169" s="32" t="n">
        <v>46083</v>
      </c>
      <c r="C169" s="33">
        <f>MONTH(B169)</f>
        <v>3</v>
      </c>
      <c r="D169" t="inlineStr">
        <is>
          <t>Nimba</t>
        </is>
      </c>
      <c r="E169" t="inlineStr">
        <is>
          <t>Yekepa - Industrial Site</t>
        </is>
      </c>
      <c r="F169" t="inlineStr">
        <is>
          <t>Industrial Site</t>
        </is>
      </c>
      <c r="G169" t="inlineStr">
        <is>
          <t>Soil</t>
        </is>
      </c>
      <c r="H169" t="inlineStr">
        <is>
          <t>Arsenic</t>
        </is>
      </c>
      <c r="I169" t="n">
        <v>42.3</v>
      </c>
      <c r="J169" t="inlineStr">
        <is>
          <t>mg/kg</t>
        </is>
      </c>
      <c r="K169" t="n">
        <v>0</v>
      </c>
      <c r="L169" t="n">
        <v>20</v>
      </c>
      <c r="M169" t="str">
        <f>IF(AND(I169&gt;=K169,I169&lt;=L169),"Yes","No")</f>
        <v>No</v>
      </c>
      <c r="N169" s="34">
        <f>IF(L169=0,"",I169/L169)</f>
        <v>2.115</v>
      </c>
      <c r="O169" s="33" t="n">
        <v>0</v>
      </c>
      <c r="P169" t="inlineStr">
        <is>
          <t>Tappita Referral Hospital</t>
        </is>
      </c>
      <c r="Q169" t="inlineStr">
        <is>
          <t>T. Mulbah</t>
        </is>
      </c>
    </row>
    <row r="170">
      <c r="A170" t="inlineStr">
        <is>
          <t>WQ-2026-00167</t>
        </is>
      </c>
      <c r="B170" s="32" t="n">
        <v>46083</v>
      </c>
      <c r="C170" s="33">
        <f>MONTH(B170)</f>
        <v>3</v>
      </c>
      <c r="D170" t="inlineStr">
        <is>
          <t>Montserrado</t>
        </is>
      </c>
      <c r="E170" t="inlineStr">
        <is>
          <t>Johnsonville - Hand-Dug Well</t>
        </is>
      </c>
      <c r="F170" t="inlineStr">
        <is>
          <t>Hand-Dug Well</t>
        </is>
      </c>
      <c r="G170" t="inlineStr">
        <is>
          <t>Water</t>
        </is>
      </c>
      <c r="H170" t="inlineStr">
        <is>
          <t>Total Coliform</t>
        </is>
      </c>
      <c r="I170" t="n">
        <v>0</v>
      </c>
      <c r="J170" t="inlineStr">
        <is>
          <t>CFU/100 mL</t>
        </is>
      </c>
      <c r="K170" t="n">
        <v>0</v>
      </c>
      <c r="L170" t="n">
        <v>0</v>
      </c>
      <c r="M170" t="str">
        <f>IF(AND(I170&gt;=K170,I170&lt;=L170),"Yes","No")</f>
        <v>Yes</v>
      </c>
      <c r="N170" s="34">
        <f>IF(L170=0,"",I170/L170)</f>
        <v/>
      </c>
      <c r="O170" s="33" t="n">
        <v>1800</v>
      </c>
      <c r="P170" t="inlineStr">
        <is>
          <t>St. Joseph's Catholic Hospital</t>
        </is>
      </c>
      <c r="Q170" t="inlineStr">
        <is>
          <t>T. Mulbah</t>
        </is>
      </c>
    </row>
    <row r="171">
      <c r="A171" t="inlineStr">
        <is>
          <t>WQ-2026-00168</t>
        </is>
      </c>
      <c r="B171" s="32" t="n">
        <v>46111</v>
      </c>
      <c r="C171" s="33">
        <f>MONTH(B171)</f>
        <v>3</v>
      </c>
      <c r="D171" t="inlineStr">
        <is>
          <t>Bomi</t>
        </is>
      </c>
      <c r="E171" t="inlineStr">
        <is>
          <t>Tubmanburg - Health Facility Supply</t>
        </is>
      </c>
      <c r="F171" t="inlineStr">
        <is>
          <t>Health Facility Supply</t>
        </is>
      </c>
      <c r="G171" t="inlineStr">
        <is>
          <t>Water</t>
        </is>
      </c>
      <c r="H171" t="inlineStr">
        <is>
          <t>Nitrate (as NO3)</t>
        </is>
      </c>
      <c r="I171" t="n">
        <v>3</v>
      </c>
      <c r="J171" t="inlineStr">
        <is>
          <t>mg/L</t>
        </is>
      </c>
      <c r="K171" t="n">
        <v>0</v>
      </c>
      <c r="L171" t="n">
        <v>10</v>
      </c>
      <c r="M171" t="str">
        <f>IF(AND(I171&gt;=K171,I171&lt;=L171),"Yes","No")</f>
        <v>Yes</v>
      </c>
      <c r="N171" s="34">
        <f>IF(L171=0,"",I171/L171)</f>
        <v>0.3</v>
      </c>
      <c r="O171" s="33" t="n">
        <v>1200</v>
      </c>
      <c r="P171" t="inlineStr">
        <is>
          <t>Klay Clinic</t>
        </is>
      </c>
      <c r="Q171" t="inlineStr">
        <is>
          <t>B. Kpadeh</t>
        </is>
      </c>
    </row>
    <row r="172">
      <c r="A172" t="inlineStr">
        <is>
          <t>WQ-2026-00169</t>
        </is>
      </c>
      <c r="B172" s="32" t="n">
        <v>46107</v>
      </c>
      <c r="C172" s="33">
        <f>MONTH(B172)</f>
        <v>3</v>
      </c>
      <c r="D172" t="inlineStr">
        <is>
          <t>Grand Bassa</t>
        </is>
      </c>
      <c r="E172" t="inlineStr">
        <is>
          <t>Owensgrove - Hand-Dug Well</t>
        </is>
      </c>
      <c r="F172" t="inlineStr">
        <is>
          <t>Hand-Dug Well</t>
        </is>
      </c>
      <c r="G172" t="inlineStr">
        <is>
          <t>Water</t>
        </is>
      </c>
      <c r="H172" t="inlineStr">
        <is>
          <t>Manganese</t>
        </is>
      </c>
      <c r="I172" t="n">
        <v>0.16</v>
      </c>
      <c r="J172" t="inlineStr">
        <is>
          <t>mg/L</t>
        </is>
      </c>
      <c r="K172" t="n">
        <v>0</v>
      </c>
      <c r="L172" t="n">
        <v>0.4</v>
      </c>
      <c r="M172" t="str">
        <f>IF(AND(I172&gt;=K172,I172&lt;=L172),"Yes","No")</f>
        <v>Yes</v>
      </c>
      <c r="N172" s="34">
        <f>IF(L172=0,"",I172/L172)</f>
        <v>0.4</v>
      </c>
      <c r="O172" s="33" t="n">
        <v>1800</v>
      </c>
      <c r="P172" t="inlineStr">
        <is>
          <t>Edina Health Center</t>
        </is>
      </c>
      <c r="Q172" t="inlineStr">
        <is>
          <t>A. Kollie</t>
        </is>
      </c>
    </row>
    <row r="173">
      <c r="A173" t="inlineStr">
        <is>
          <t>WQ-2026-00170</t>
        </is>
      </c>
      <c r="B173" s="32" t="n">
        <v>46084</v>
      </c>
      <c r="C173" s="33">
        <f>MONTH(B173)</f>
        <v>3</v>
      </c>
      <c r="D173" t="inlineStr">
        <is>
          <t>Lofa</t>
        </is>
      </c>
      <c r="E173" t="inlineStr">
        <is>
          <t>Voinjama - Hand-Dug Well</t>
        </is>
      </c>
      <c r="F173" t="inlineStr">
        <is>
          <t>Hand-Dug Well</t>
        </is>
      </c>
      <c r="G173" t="inlineStr">
        <is>
          <t>Water</t>
        </is>
      </c>
      <c r="H173" t="inlineStr">
        <is>
          <t>Manganese</t>
        </is>
      </c>
      <c r="I173" t="n">
        <v>0.04</v>
      </c>
      <c r="J173" t="inlineStr">
        <is>
          <t>mg/L</t>
        </is>
      </c>
      <c r="K173" t="n">
        <v>0</v>
      </c>
      <c r="L173" t="n">
        <v>0.4</v>
      </c>
      <c r="M173" t="str">
        <f>IF(AND(I173&gt;=K173,I173&lt;=L173),"Yes","No")</f>
        <v>Yes</v>
      </c>
      <c r="N173" s="34">
        <f>IF(L173=0,"",I173/L173)</f>
        <v>0.1</v>
      </c>
      <c r="O173" s="33" t="n">
        <v>350</v>
      </c>
      <c r="P173" t="inlineStr">
        <is>
          <t>Zorzor Hospital</t>
        </is>
      </c>
      <c r="Q173" t="inlineStr">
        <is>
          <t>A. Kollie</t>
        </is>
      </c>
    </row>
    <row r="174">
      <c r="A174" t="inlineStr">
        <is>
          <t>AQ-2026-00171</t>
        </is>
      </c>
      <c r="B174" s="32" t="n">
        <v>46109</v>
      </c>
      <c r="C174" s="33">
        <f>MONTH(B174)</f>
        <v>3</v>
      </c>
      <c r="D174" t="inlineStr">
        <is>
          <t>Grand Bassa</t>
        </is>
      </c>
      <c r="E174" t="inlineStr">
        <is>
          <t>Liberia Petroleum Refinery</t>
        </is>
      </c>
      <c r="F174" t="inlineStr">
        <is>
          <t>Industrial Perimeter</t>
        </is>
      </c>
      <c r="G174" t="inlineStr">
        <is>
          <t>Air</t>
        </is>
      </c>
      <c r="H174" t="inlineStr">
        <is>
          <t>Sulphur Dioxide (SO2)</t>
        </is>
      </c>
      <c r="I174" t="n">
        <v>94</v>
      </c>
      <c r="J174" t="inlineStr">
        <is>
          <t>ug/m3</t>
        </is>
      </c>
      <c r="K174" t="n">
        <v>0</v>
      </c>
      <c r="L174" t="n">
        <v>125</v>
      </c>
      <c r="M174" t="str">
        <f>IF(AND(I174&gt;=K174,I174&lt;=L174),"Yes","No")</f>
        <v>Yes</v>
      </c>
      <c r="N174" s="34">
        <f>IF(L174=0,"",I174/L174)</f>
        <v>0.752</v>
      </c>
      <c r="O174" s="33" t="n">
        <v>450</v>
      </c>
      <c r="P174" t="inlineStr">
        <is>
          <t>Edina Health Center</t>
        </is>
      </c>
      <c r="Q174" t="inlineStr">
        <is>
          <t>E. Sebo</t>
        </is>
      </c>
    </row>
    <row r="175">
      <c r="A175" t="inlineStr">
        <is>
          <t>WQ-2026-00172</t>
        </is>
      </c>
      <c r="B175" s="32" t="n">
        <v>46092</v>
      </c>
      <c r="C175" s="33">
        <f>MONTH(B175)</f>
        <v>3</v>
      </c>
      <c r="D175" t="inlineStr">
        <is>
          <t>Maryland</t>
        </is>
      </c>
      <c r="E175" t="inlineStr">
        <is>
          <t>Harper - School Water Point</t>
        </is>
      </c>
      <c r="F175" t="inlineStr">
        <is>
          <t>School Water Point</t>
        </is>
      </c>
      <c r="G175" t="inlineStr">
        <is>
          <t>Water</t>
        </is>
      </c>
      <c r="H175" t="inlineStr">
        <is>
          <t>Arsenic</t>
        </is>
      </c>
      <c r="I175" t="n">
        <v>0.0067</v>
      </c>
      <c r="J175" t="inlineStr">
        <is>
          <t>mg/L</t>
        </is>
      </c>
      <c r="K175" t="n">
        <v>0</v>
      </c>
      <c r="L175" t="n">
        <v>0.01</v>
      </c>
      <c r="M175" t="str">
        <f>IF(AND(I175&gt;=K175,I175&lt;=L175),"Yes","No")</f>
        <v>Yes</v>
      </c>
      <c r="N175" s="34">
        <f>IF(L175=0,"",I175/L175)</f>
        <v>0.67</v>
      </c>
      <c r="O175" s="33" t="n">
        <v>240</v>
      </c>
      <c r="P175" t="inlineStr">
        <is>
          <t>Harper Hospital</t>
        </is>
      </c>
      <c r="Q175" t="inlineStr">
        <is>
          <t>J. Nyeman</t>
        </is>
      </c>
    </row>
    <row r="176">
      <c r="A176" t="inlineStr">
        <is>
          <t>WQ-2026-00173</t>
        </is>
      </c>
      <c r="B176" s="32" t="n">
        <v>46109</v>
      </c>
      <c r="C176" s="33">
        <f>MONTH(B176)</f>
        <v>3</v>
      </c>
      <c r="D176" t="inlineStr">
        <is>
          <t>Montserrado</t>
        </is>
      </c>
      <c r="E176" t="inlineStr">
        <is>
          <t>Brewerville - Hand-Dug Well</t>
        </is>
      </c>
      <c r="F176" t="inlineStr">
        <is>
          <t>Hand-Dug Well</t>
        </is>
      </c>
      <c r="G176" t="inlineStr">
        <is>
          <t>Water</t>
        </is>
      </c>
      <c r="H176" t="inlineStr">
        <is>
          <t>Turbidity</t>
        </is>
      </c>
      <c r="I176" t="n">
        <v>3.2</v>
      </c>
      <c r="J176" t="inlineStr">
        <is>
          <t>NTU</t>
        </is>
      </c>
      <c r="K176" t="n">
        <v>0</v>
      </c>
      <c r="L176" t="n">
        <v>5</v>
      </c>
      <c r="M176" t="str">
        <f>IF(AND(I176&gt;=K176,I176&lt;=L176),"Yes","No")</f>
        <v>Yes</v>
      </c>
      <c r="N176" s="34">
        <f>IF(L176=0,"",I176/L176)</f>
        <v>0.64</v>
      </c>
      <c r="O176" s="33" t="n">
        <v>240</v>
      </c>
      <c r="P176" t="inlineStr">
        <is>
          <t>Benson Hospital</t>
        </is>
      </c>
      <c r="Q176" t="inlineStr">
        <is>
          <t>F. Gbato</t>
        </is>
      </c>
    </row>
    <row r="177">
      <c r="A177" t="inlineStr">
        <is>
          <t>WQ-2026-00174</t>
        </is>
      </c>
      <c r="B177" s="32" t="n">
        <v>46082</v>
      </c>
      <c r="C177" s="33">
        <f>MONTH(B177)</f>
        <v>3</v>
      </c>
      <c r="D177" t="inlineStr">
        <is>
          <t>Nimba</t>
        </is>
      </c>
      <c r="E177" t="inlineStr">
        <is>
          <t>Karnplay - Public Tap Stand</t>
        </is>
      </c>
      <c r="F177" t="inlineStr">
        <is>
          <t>Public Tap Stand</t>
        </is>
      </c>
      <c r="G177" t="inlineStr">
        <is>
          <t>Water</t>
        </is>
      </c>
      <c r="H177" t="inlineStr">
        <is>
          <t>Manganese</t>
        </is>
      </c>
      <c r="I177" t="n">
        <v>0.04</v>
      </c>
      <c r="J177" t="inlineStr">
        <is>
          <t>mg/L</t>
        </is>
      </c>
      <c r="K177" t="n">
        <v>0</v>
      </c>
      <c r="L177" t="n">
        <v>0.4</v>
      </c>
      <c r="M177" t="str">
        <f>IF(AND(I177&gt;=K177,I177&lt;=L177),"Yes","No")</f>
        <v>Yes</v>
      </c>
      <c r="N177" s="34">
        <f>IF(L177=0,"",I177/L177)</f>
        <v>0.1</v>
      </c>
      <c r="O177" s="33" t="n">
        <v>2500</v>
      </c>
      <c r="P177" t="inlineStr">
        <is>
          <t>Tappita Referral Hospital</t>
        </is>
      </c>
      <c r="Q177" t="inlineStr">
        <is>
          <t>E. Sebo</t>
        </is>
      </c>
    </row>
    <row r="178">
      <c r="A178" t="inlineStr">
        <is>
          <t>SL-2026-00175</t>
        </is>
      </c>
      <c r="B178" s="32" t="n">
        <v>46110</v>
      </c>
      <c r="C178" s="33">
        <f>MONTH(B178)</f>
        <v>3</v>
      </c>
      <c r="D178" t="inlineStr">
        <is>
          <t>Grand Bassa</t>
        </is>
      </c>
      <c r="E178" t="inlineStr">
        <is>
          <t>Nimba Western Range Iron Ore</t>
        </is>
      </c>
      <c r="F178" t="inlineStr">
        <is>
          <t>Industrial Perimeter</t>
        </is>
      </c>
      <c r="G178" t="inlineStr">
        <is>
          <t>Soil</t>
        </is>
      </c>
      <c r="H178" t="inlineStr">
        <is>
          <t>Lead</t>
        </is>
      </c>
      <c r="I178" t="n">
        <v>35</v>
      </c>
      <c r="J178" t="inlineStr">
        <is>
          <t>mg/kg</t>
        </is>
      </c>
      <c r="K178" t="n">
        <v>0</v>
      </c>
      <c r="L178" t="n">
        <v>100</v>
      </c>
      <c r="M178" t="str">
        <f>IF(AND(I178&gt;=K178,I178&lt;=L178),"Yes","No")</f>
        <v>Yes</v>
      </c>
      <c r="N178" s="34">
        <f>IF(L178=0,"",I178/L178)</f>
        <v>0.35</v>
      </c>
      <c r="O178" s="33" t="n">
        <v>0</v>
      </c>
      <c r="P178" t="inlineStr">
        <is>
          <t>Buchanan Government Hospital</t>
        </is>
      </c>
      <c r="Q178" t="inlineStr">
        <is>
          <t>M. Toe</t>
        </is>
      </c>
    </row>
    <row r="179">
      <c r="A179" t="inlineStr">
        <is>
          <t>AQ-2026-00176</t>
        </is>
      </c>
      <c r="B179" s="32" t="n">
        <v>46095</v>
      </c>
      <c r="C179" s="33">
        <f>MONTH(B179)</f>
        <v>3</v>
      </c>
      <c r="D179" t="inlineStr">
        <is>
          <t>Grand Bassa</t>
        </is>
      </c>
      <c r="E179" t="inlineStr">
        <is>
          <t>Owensgrove - Residential Area</t>
        </is>
      </c>
      <c r="F179" t="inlineStr">
        <is>
          <t>Residential Area</t>
        </is>
      </c>
      <c r="G179" t="inlineStr">
        <is>
          <t>Air</t>
        </is>
      </c>
      <c r="H179" t="inlineStr">
        <is>
          <t>Sulphur Dioxide (SO2)</t>
        </is>
      </c>
      <c r="I179" t="n">
        <v>50</v>
      </c>
      <c r="J179" t="inlineStr">
        <is>
          <t>ug/m3</t>
        </is>
      </c>
      <c r="K179" t="n">
        <v>0</v>
      </c>
      <c r="L179" t="n">
        <v>125</v>
      </c>
      <c r="M179" t="str">
        <f>IF(AND(I179&gt;=K179,I179&lt;=L179),"Yes","No")</f>
        <v>Yes</v>
      </c>
      <c r="N179" s="34">
        <f>IF(L179=0,"",I179/L179)</f>
        <v>0.4</v>
      </c>
      <c r="O179" s="33" t="n">
        <v>200</v>
      </c>
      <c r="P179" t="inlineStr">
        <is>
          <t>Buchanan Government Hospital</t>
        </is>
      </c>
      <c r="Q179" t="inlineStr">
        <is>
          <t>H. Zolia</t>
        </is>
      </c>
    </row>
    <row r="180">
      <c r="A180" t="inlineStr">
        <is>
          <t>WQ-2026-00177</t>
        </is>
      </c>
      <c r="B180" s="32" t="n">
        <v>46089</v>
      </c>
      <c r="C180" s="33">
        <f>MONTH(B180)</f>
        <v>3</v>
      </c>
      <c r="D180" t="inlineStr">
        <is>
          <t>Bong</t>
        </is>
      </c>
      <c r="E180" t="inlineStr">
        <is>
          <t>Suakoko - River / Stream Intake</t>
        </is>
      </c>
      <c r="F180" t="inlineStr">
        <is>
          <t>River / Stream Intake</t>
        </is>
      </c>
      <c r="G180" t="inlineStr">
        <is>
          <t>Water</t>
        </is>
      </c>
      <c r="H180" t="inlineStr">
        <is>
          <t>E. coli</t>
        </is>
      </c>
      <c r="I180" t="n">
        <v>0</v>
      </c>
      <c r="J180" t="inlineStr">
        <is>
          <t>CFU/100 mL</t>
        </is>
      </c>
      <c r="K180" t="n">
        <v>0</v>
      </c>
      <c r="L180" t="n">
        <v>0</v>
      </c>
      <c r="M180" t="str">
        <f>IF(AND(I180&gt;=K180,I180&lt;=L180),"Yes","No")</f>
        <v>Yes</v>
      </c>
      <c r="N180" s="34">
        <f>IF(L180=0,"",I180/L180)</f>
        <v/>
      </c>
      <c r="O180" s="33" t="n">
        <v>350</v>
      </c>
      <c r="P180" t="inlineStr">
        <is>
          <t>Gbarnga Health Center</t>
        </is>
      </c>
      <c r="Q180" t="inlineStr">
        <is>
          <t>M. Toe</t>
        </is>
      </c>
    </row>
    <row r="181">
      <c r="A181" t="inlineStr">
        <is>
          <t>AQ-2026-00178</t>
        </is>
      </c>
      <c r="B181" s="32" t="n">
        <v>46109</v>
      </c>
      <c r="C181" s="33">
        <f>MONTH(B181)</f>
        <v>3</v>
      </c>
      <c r="D181" t="inlineStr">
        <is>
          <t>Sinoe</t>
        </is>
      </c>
      <c r="E181" t="inlineStr">
        <is>
          <t>Greenville - Urban Roadside</t>
        </is>
      </c>
      <c r="F181" t="inlineStr">
        <is>
          <t>Urban Roadside</t>
        </is>
      </c>
      <c r="G181" t="inlineStr">
        <is>
          <t>Air</t>
        </is>
      </c>
      <c r="H181" t="inlineStr">
        <is>
          <t>Nitrogen Dioxide (NO2)</t>
        </is>
      </c>
      <c r="I181" t="n">
        <v>3.6</v>
      </c>
      <c r="J181" t="inlineStr">
        <is>
          <t>ug/m3</t>
        </is>
      </c>
      <c r="K181" t="n">
        <v>0</v>
      </c>
      <c r="L181" t="n">
        <v>40</v>
      </c>
      <c r="M181" t="str">
        <f>IF(AND(I181&gt;=K181,I181&lt;=L181),"Yes","No")</f>
        <v>Yes</v>
      </c>
      <c r="N181" s="34">
        <f>IF(L181=0,"",I181/L181)</f>
        <v>0.09</v>
      </c>
      <c r="O181" s="33" t="n">
        <v>800</v>
      </c>
      <c r="P181" t="inlineStr">
        <is>
          <t>F.J. Grante Hospital</t>
        </is>
      </c>
      <c r="Q181" t="inlineStr">
        <is>
          <t>T. Mulbah</t>
        </is>
      </c>
    </row>
    <row r="182">
      <c r="A182" t="inlineStr">
        <is>
          <t>AQ-2026-00179</t>
        </is>
      </c>
      <c r="B182" s="32" t="n">
        <v>46083</v>
      </c>
      <c r="C182" s="33">
        <f>MONTH(B182)</f>
        <v>3</v>
      </c>
      <c r="D182" t="inlineStr">
        <is>
          <t>Montserrado</t>
        </is>
      </c>
      <c r="E182" t="inlineStr">
        <is>
          <t>Brewerville - Dumpsite Perimeter</t>
        </is>
      </c>
      <c r="F182" t="inlineStr">
        <is>
          <t>Dumpsite Perimeter</t>
        </is>
      </c>
      <c r="G182" t="inlineStr">
        <is>
          <t>Air</t>
        </is>
      </c>
      <c r="H182" t="inlineStr">
        <is>
          <t>PM10</t>
        </is>
      </c>
      <c r="I182" t="n">
        <v>2.1</v>
      </c>
      <c r="J182" t="inlineStr">
        <is>
          <t>ug/m3</t>
        </is>
      </c>
      <c r="K182" t="n">
        <v>0</v>
      </c>
      <c r="L182" t="n">
        <v>50</v>
      </c>
      <c r="M182" t="str">
        <f>IF(AND(I182&gt;=K182,I182&lt;=L182),"Yes","No")</f>
        <v>Yes</v>
      </c>
      <c r="N182" s="34">
        <f>IF(L182=0,"",I182/L182)</f>
        <v>0.042</v>
      </c>
      <c r="O182" s="33" t="n">
        <v>800</v>
      </c>
      <c r="P182" t="inlineStr">
        <is>
          <t>St. Joseph's Catholic Hospital</t>
        </is>
      </c>
      <c r="Q182" t="inlineStr">
        <is>
          <t>H. Zolia</t>
        </is>
      </c>
    </row>
    <row r="183">
      <c r="A183" t="inlineStr">
        <is>
          <t>WQ-2026-00180</t>
        </is>
      </c>
      <c r="B183" s="32" t="n">
        <v>46095</v>
      </c>
      <c r="C183" s="33">
        <f>MONTH(B183)</f>
        <v>3</v>
      </c>
      <c r="D183" t="inlineStr">
        <is>
          <t>Montserrado</t>
        </is>
      </c>
      <c r="E183" t="inlineStr">
        <is>
          <t>Brewerville - Public Tap Stand</t>
        </is>
      </c>
      <c r="F183" t="inlineStr">
        <is>
          <t>Public Tap Stand</t>
        </is>
      </c>
      <c r="G183" t="inlineStr">
        <is>
          <t>Water</t>
        </is>
      </c>
      <c r="H183" t="inlineStr">
        <is>
          <t>Total Coliform</t>
        </is>
      </c>
      <c r="I183" t="n">
        <v>0</v>
      </c>
      <c r="J183" t="inlineStr">
        <is>
          <t>CFU/100 mL</t>
        </is>
      </c>
      <c r="K183" t="n">
        <v>0</v>
      </c>
      <c r="L183" t="n">
        <v>0</v>
      </c>
      <c r="M183" t="str">
        <f>IF(AND(I183&gt;=K183,I183&lt;=L183),"Yes","No")</f>
        <v>Yes</v>
      </c>
      <c r="N183" s="34">
        <f>IF(L183=0,"",I183/L183)</f>
        <v/>
      </c>
      <c r="O183" s="33" t="n">
        <v>500</v>
      </c>
      <c r="P183" t="inlineStr">
        <is>
          <t>Benson Hospital</t>
        </is>
      </c>
      <c r="Q183" t="inlineStr">
        <is>
          <t>J. Nyeman</t>
        </is>
      </c>
    </row>
    <row r="184">
      <c r="A184" t="inlineStr">
        <is>
          <t>WQ-2026-00181</t>
        </is>
      </c>
      <c r="B184" s="32" t="n">
        <v>46101</v>
      </c>
      <c r="C184" s="33">
        <f>MONTH(B184)</f>
        <v>3</v>
      </c>
      <c r="D184" t="inlineStr">
        <is>
          <t>Bong</t>
        </is>
      </c>
      <c r="E184" t="inlineStr">
        <is>
          <t>Suakoko - School Water Point</t>
        </is>
      </c>
      <c r="F184" t="inlineStr">
        <is>
          <t>School Water Point</t>
        </is>
      </c>
      <c r="G184" t="inlineStr">
        <is>
          <t>Water</t>
        </is>
      </c>
      <c r="H184" t="inlineStr">
        <is>
          <t>Turbidity</t>
        </is>
      </c>
      <c r="I184" t="n">
        <v>3.9</v>
      </c>
      <c r="J184" t="inlineStr">
        <is>
          <t>NTU</t>
        </is>
      </c>
      <c r="K184" t="n">
        <v>0</v>
      </c>
      <c r="L184" t="n">
        <v>5</v>
      </c>
      <c r="M184" t="str">
        <f>IF(AND(I184&gt;=K184,I184&lt;=L184),"Yes","No")</f>
        <v>Yes</v>
      </c>
      <c r="N184" s="34">
        <f>IF(L184=0,"",I184/L184)</f>
        <v>0.78</v>
      </c>
      <c r="O184" s="33" t="n">
        <v>900</v>
      </c>
      <c r="P184" t="inlineStr">
        <is>
          <t>Suakoko Clinic</t>
        </is>
      </c>
      <c r="Q184" t="inlineStr">
        <is>
          <t>F. Gbato</t>
        </is>
      </c>
    </row>
    <row r="185">
      <c r="A185" t="inlineStr">
        <is>
          <t>AQ-2026-00182</t>
        </is>
      </c>
      <c r="B185" s="32" t="n">
        <v>46103</v>
      </c>
      <c r="C185" s="33">
        <f>MONTH(B185)</f>
        <v>3</v>
      </c>
      <c r="D185" t="inlineStr">
        <is>
          <t>Grand Bassa</t>
        </is>
      </c>
      <c r="E185" t="inlineStr">
        <is>
          <t>Owensgrove - Urban Roadside</t>
        </is>
      </c>
      <c r="F185" t="inlineStr">
        <is>
          <t>Urban Roadside</t>
        </is>
      </c>
      <c r="G185" t="inlineStr">
        <is>
          <t>Air</t>
        </is>
      </c>
      <c r="H185" t="inlineStr">
        <is>
          <t>PM10</t>
        </is>
      </c>
      <c r="I185" t="n">
        <v>17.3</v>
      </c>
      <c r="J185" t="inlineStr">
        <is>
          <t>ug/m3</t>
        </is>
      </c>
      <c r="K185" t="n">
        <v>0</v>
      </c>
      <c r="L185" t="n">
        <v>50</v>
      </c>
      <c r="M185" t="str">
        <f>IF(AND(I185&gt;=K185,I185&lt;=L185),"Yes","No")</f>
        <v>Yes</v>
      </c>
      <c r="N185" s="34">
        <f>IF(L185=0,"",I185/L185)</f>
        <v>0.346</v>
      </c>
      <c r="O185" s="33" t="n">
        <v>2200</v>
      </c>
      <c r="P185" t="inlineStr">
        <is>
          <t>Edina Health Center</t>
        </is>
      </c>
      <c r="Q185" t="inlineStr">
        <is>
          <t>P. Wleh</t>
        </is>
      </c>
    </row>
    <row r="186">
      <c r="A186" t="inlineStr">
        <is>
          <t>WQ-2026-00183</t>
        </is>
      </c>
      <c r="B186" s="32" t="n">
        <v>46083</v>
      </c>
      <c r="C186" s="33">
        <f>MONTH(B186)</f>
        <v>3</v>
      </c>
      <c r="D186" t="inlineStr">
        <is>
          <t>Nimba</t>
        </is>
      </c>
      <c r="E186" t="inlineStr">
        <is>
          <t>Butuo - Community Borehole</t>
        </is>
      </c>
      <c r="F186" t="inlineStr">
        <is>
          <t>Community Borehole</t>
        </is>
      </c>
      <c r="G186" t="inlineStr">
        <is>
          <t>Water</t>
        </is>
      </c>
      <c r="H186" t="inlineStr">
        <is>
          <t>E. coli</t>
        </is>
      </c>
      <c r="I186" t="n">
        <v>0</v>
      </c>
      <c r="J186" t="inlineStr">
        <is>
          <t>CFU/100 mL</t>
        </is>
      </c>
      <c r="K186" t="n">
        <v>0</v>
      </c>
      <c r="L186" t="n">
        <v>0</v>
      </c>
      <c r="M186" t="str">
        <f>IF(AND(I186&gt;=K186,I186&lt;=L186),"Yes","No")</f>
        <v>Yes</v>
      </c>
      <c r="N186" s="34">
        <f>IF(L186=0,"",I186/L186)</f>
        <v/>
      </c>
      <c r="O186" s="33" t="n">
        <v>750</v>
      </c>
      <c r="P186" t="inlineStr">
        <is>
          <t>Ganta United Methodist Hospital</t>
        </is>
      </c>
      <c r="Q186" t="inlineStr">
        <is>
          <t>T. Mulbah</t>
        </is>
      </c>
    </row>
    <row r="187">
      <c r="A187" t="inlineStr">
        <is>
          <t>WQ-2026-00184</t>
        </is>
      </c>
      <c r="B187" s="32" t="n">
        <v>46090</v>
      </c>
      <c r="C187" s="33">
        <f>MONTH(B187)</f>
        <v>3</v>
      </c>
      <c r="D187" t="inlineStr">
        <is>
          <t>Sinoe</t>
        </is>
      </c>
      <c r="E187" t="inlineStr">
        <is>
          <t>Butaw - Community Borehole</t>
        </is>
      </c>
      <c r="F187" t="inlineStr">
        <is>
          <t>Community Borehole</t>
        </is>
      </c>
      <c r="G187" t="inlineStr">
        <is>
          <t>Water</t>
        </is>
      </c>
      <c r="H187" t="inlineStr">
        <is>
          <t>Total Coliform</t>
        </is>
      </c>
      <c r="I187" t="n">
        <v>0</v>
      </c>
      <c r="J187" t="inlineStr">
        <is>
          <t>CFU/100 mL</t>
        </is>
      </c>
      <c r="K187" t="n">
        <v>0</v>
      </c>
      <c r="L187" t="n">
        <v>0</v>
      </c>
      <c r="M187" t="str">
        <f>IF(AND(I187&gt;=K187,I187&lt;=L187),"Yes","No")</f>
        <v>Yes</v>
      </c>
      <c r="N187" s="34">
        <f>IF(L187=0,"",I187/L187)</f>
        <v/>
      </c>
      <c r="O187" s="33" t="n">
        <v>750</v>
      </c>
      <c r="P187" t="inlineStr">
        <is>
          <t>Greenville Health Center</t>
        </is>
      </c>
      <c r="Q187" t="inlineStr">
        <is>
          <t>E. Sebo</t>
        </is>
      </c>
    </row>
    <row r="188">
      <c r="A188" t="inlineStr">
        <is>
          <t>AQ-2026-00185</t>
        </is>
      </c>
      <c r="B188" s="32" t="n">
        <v>46090</v>
      </c>
      <c r="C188" s="33">
        <f>MONTH(B188)</f>
        <v>3</v>
      </c>
      <c r="D188" t="inlineStr">
        <is>
          <t>Bong</t>
        </is>
      </c>
      <c r="E188" t="inlineStr">
        <is>
          <t>Suakoko - Residential Area</t>
        </is>
      </c>
      <c r="F188" t="inlineStr">
        <is>
          <t>Residential Area</t>
        </is>
      </c>
      <c r="G188" t="inlineStr">
        <is>
          <t>Air</t>
        </is>
      </c>
      <c r="H188" t="inlineStr">
        <is>
          <t>PM2.5</t>
        </is>
      </c>
      <c r="I188" t="n">
        <v>5.3</v>
      </c>
      <c r="J188" t="inlineStr">
        <is>
          <t>ug/m3</t>
        </is>
      </c>
      <c r="K188" t="n">
        <v>0</v>
      </c>
      <c r="L188" t="n">
        <v>25</v>
      </c>
      <c r="M188" t="str">
        <f>IF(AND(I188&gt;=K188,I188&lt;=L188),"Yes","No")</f>
        <v>Yes</v>
      </c>
      <c r="N188" s="34">
        <f>IF(L188=0,"",I188/L188)</f>
        <v>0.212</v>
      </c>
      <c r="O188" s="33" t="n">
        <v>0</v>
      </c>
      <c r="P188" t="inlineStr">
        <is>
          <t>Phebe Hospital</t>
        </is>
      </c>
      <c r="Q188" t="inlineStr">
        <is>
          <t>S. Dolo</t>
        </is>
      </c>
    </row>
    <row r="189">
      <c r="A189" t="inlineStr">
        <is>
          <t>WQ-2026-00186</t>
        </is>
      </c>
      <c r="B189" s="32" t="n">
        <v>46086</v>
      </c>
      <c r="C189" s="33">
        <f>MONTH(B189)</f>
        <v>3</v>
      </c>
      <c r="D189" t="inlineStr">
        <is>
          <t>Grand Bassa</t>
        </is>
      </c>
      <c r="E189" t="inlineStr">
        <is>
          <t>St. John River - Hand-Dug Well</t>
        </is>
      </c>
      <c r="F189" t="inlineStr">
        <is>
          <t>Hand-Dug Well</t>
        </is>
      </c>
      <c r="G189" t="inlineStr">
        <is>
          <t>Water</t>
        </is>
      </c>
      <c r="H189" t="inlineStr">
        <is>
          <t>Manganese</t>
        </is>
      </c>
      <c r="I189" t="n">
        <v>0.06</v>
      </c>
      <c r="J189" t="inlineStr">
        <is>
          <t>mg/L</t>
        </is>
      </c>
      <c r="K189" t="n">
        <v>0</v>
      </c>
      <c r="L189" t="n">
        <v>0.4</v>
      </c>
      <c r="M189" t="str">
        <f>IF(AND(I189&gt;=K189,I189&lt;=L189),"Yes","No")</f>
        <v>Yes</v>
      </c>
      <c r="N189" s="34">
        <f>IF(L189=0,"",I189/L189)</f>
        <v>0.15</v>
      </c>
      <c r="O189" s="33" t="n">
        <v>500</v>
      </c>
      <c r="P189" t="inlineStr">
        <is>
          <t>Buchanan Government Hospital</t>
        </is>
      </c>
      <c r="Q189" t="inlineStr">
        <is>
          <t>P. Wleh</t>
        </is>
      </c>
    </row>
    <row r="190">
      <c r="A190" t="inlineStr">
        <is>
          <t>WQ-2026-00187</t>
        </is>
      </c>
      <c r="B190" s="32" t="n">
        <v>46103</v>
      </c>
      <c r="C190" s="33">
        <f>MONTH(B190)</f>
        <v>3</v>
      </c>
      <c r="D190" t="inlineStr">
        <is>
          <t>Lofa</t>
        </is>
      </c>
      <c r="E190" t="inlineStr">
        <is>
          <t>Zorzor - River / Stream Intake</t>
        </is>
      </c>
      <c r="F190" t="inlineStr">
        <is>
          <t>River / Stream Intake</t>
        </is>
      </c>
      <c r="G190" t="inlineStr">
        <is>
          <t>Water</t>
        </is>
      </c>
      <c r="H190" t="inlineStr">
        <is>
          <t>Arsenic</t>
        </is>
      </c>
      <c r="I190" t="n">
        <v>0.0043</v>
      </c>
      <c r="J190" t="inlineStr">
        <is>
          <t>mg/L</t>
        </is>
      </c>
      <c r="K190" t="n">
        <v>0</v>
      </c>
      <c r="L190" t="n">
        <v>0.01</v>
      </c>
      <c r="M190" t="str">
        <f>IF(AND(I190&gt;=K190,I190&lt;=L190),"Yes","No")</f>
        <v>Yes</v>
      </c>
      <c r="N190" s="34">
        <f>IF(L190=0,"",I190/L190)</f>
        <v>0.43</v>
      </c>
      <c r="O190" s="33" t="n">
        <v>120</v>
      </c>
      <c r="P190" t="inlineStr">
        <is>
          <t>Zorzor Hospital</t>
        </is>
      </c>
      <c r="Q190" t="inlineStr">
        <is>
          <t>J. Nyeman</t>
        </is>
      </c>
    </row>
    <row r="191">
      <c r="A191" t="inlineStr">
        <is>
          <t>WQ-2026-00188</t>
        </is>
      </c>
      <c r="B191" s="32" t="n">
        <v>46102</v>
      </c>
      <c r="C191" s="33">
        <f>MONTH(B191)</f>
        <v>3</v>
      </c>
      <c r="D191" t="inlineStr">
        <is>
          <t>Nimba</t>
        </is>
      </c>
      <c r="E191" t="inlineStr">
        <is>
          <t>Karnplay - Hand-Dug Well</t>
        </is>
      </c>
      <c r="F191" t="inlineStr">
        <is>
          <t>Hand-Dug Well</t>
        </is>
      </c>
      <c r="G191" t="inlineStr">
        <is>
          <t>Water</t>
        </is>
      </c>
      <c r="H191" t="inlineStr">
        <is>
          <t>Manganese</t>
        </is>
      </c>
      <c r="I191" t="n">
        <v>0.15</v>
      </c>
      <c r="J191" t="inlineStr">
        <is>
          <t>mg/L</t>
        </is>
      </c>
      <c r="K191" t="n">
        <v>0</v>
      </c>
      <c r="L191" t="n">
        <v>0.4</v>
      </c>
      <c r="M191" t="str">
        <f>IF(AND(I191&gt;=K191,I191&lt;=L191),"Yes","No")</f>
        <v>Yes</v>
      </c>
      <c r="N191" s="34">
        <f>IF(L191=0,"",I191/L191)</f>
        <v>0.375</v>
      </c>
      <c r="O191" s="33" t="n">
        <v>1200</v>
      </c>
      <c r="P191" t="inlineStr">
        <is>
          <t>Tappita Referral Hospital</t>
        </is>
      </c>
      <c r="Q191" t="inlineStr">
        <is>
          <t>F. Gbato</t>
        </is>
      </c>
    </row>
    <row r="192">
      <c r="A192" t="inlineStr">
        <is>
          <t>AQ-2026-00189</t>
        </is>
      </c>
      <c r="B192" s="32" t="n">
        <v>46094</v>
      </c>
      <c r="C192" s="33">
        <f>MONTH(B192)</f>
        <v>3</v>
      </c>
      <c r="D192" t="inlineStr">
        <is>
          <t>Montserrado</t>
        </is>
      </c>
      <c r="E192" t="inlineStr">
        <is>
          <t>Sinkor - Urban Roadside</t>
        </is>
      </c>
      <c r="F192" t="inlineStr">
        <is>
          <t>Urban Roadside</t>
        </is>
      </c>
      <c r="G192" t="inlineStr">
        <is>
          <t>Air</t>
        </is>
      </c>
      <c r="H192" t="inlineStr">
        <is>
          <t>PM10</t>
        </is>
      </c>
      <c r="I192" t="n">
        <v>61.1</v>
      </c>
      <c r="J192" t="inlineStr">
        <is>
          <t>ug/m3</t>
        </is>
      </c>
      <c r="K192" t="n">
        <v>0</v>
      </c>
      <c r="L192" t="n">
        <v>50</v>
      </c>
      <c r="M192" t="str">
        <f>IF(AND(I192&gt;=K192,I192&lt;=L192),"Yes","No")</f>
        <v>No</v>
      </c>
      <c r="N192" s="34">
        <f>IF(L192=0,"",I192/L192)</f>
        <v>1.222</v>
      </c>
      <c r="O192" s="33" t="n">
        <v>0</v>
      </c>
      <c r="P192" t="inlineStr">
        <is>
          <t>St. Joseph's Catholic Hospital</t>
        </is>
      </c>
      <c r="Q192" t="inlineStr">
        <is>
          <t>B. Kpadeh</t>
        </is>
      </c>
    </row>
    <row r="193">
      <c r="A193" t="inlineStr">
        <is>
          <t>WQ-2026-00190</t>
        </is>
      </c>
      <c r="B193" s="32" t="n">
        <v>46109</v>
      </c>
      <c r="C193" s="33">
        <f>MONTH(B193)</f>
        <v>3</v>
      </c>
      <c r="D193" t="inlineStr">
        <is>
          <t>Grand Bassa</t>
        </is>
      </c>
      <c r="E193" t="inlineStr">
        <is>
          <t>Edina - School Water Point</t>
        </is>
      </c>
      <c r="F193" t="inlineStr">
        <is>
          <t>School Water Point</t>
        </is>
      </c>
      <c r="G193" t="inlineStr">
        <is>
          <t>Water</t>
        </is>
      </c>
      <c r="H193" t="inlineStr">
        <is>
          <t>Total Coliform</t>
        </is>
      </c>
      <c r="I193" t="n">
        <v>0</v>
      </c>
      <c r="J193" t="inlineStr">
        <is>
          <t>CFU/100 mL</t>
        </is>
      </c>
      <c r="K193" t="n">
        <v>0</v>
      </c>
      <c r="L193" t="n">
        <v>0</v>
      </c>
      <c r="M193" t="str">
        <f>IF(AND(I193&gt;=K193,I193&lt;=L193),"Yes","No")</f>
        <v>Yes</v>
      </c>
      <c r="N193" s="34">
        <f>IF(L193=0,"",I193/L193)</f>
        <v/>
      </c>
      <c r="O193" s="33" t="n">
        <v>240</v>
      </c>
      <c r="P193" t="inlineStr">
        <is>
          <t>Buchanan Government Hospital</t>
        </is>
      </c>
      <c r="Q193" t="inlineStr">
        <is>
          <t>F. Gbato</t>
        </is>
      </c>
    </row>
    <row r="194">
      <c r="A194" t="inlineStr">
        <is>
          <t>AQ-2026-00191</t>
        </is>
      </c>
      <c r="B194" s="32" t="n">
        <v>46082</v>
      </c>
      <c r="C194" s="33">
        <f>MONTH(B194)</f>
        <v>3</v>
      </c>
      <c r="D194" t="inlineStr">
        <is>
          <t>Montserrado</t>
        </is>
      </c>
      <c r="E194" t="inlineStr">
        <is>
          <t>New Kru Town - Residential Area</t>
        </is>
      </c>
      <c r="F194" t="inlineStr">
        <is>
          <t>Residential Area</t>
        </is>
      </c>
      <c r="G194" t="inlineStr">
        <is>
          <t>Air</t>
        </is>
      </c>
      <c r="H194" t="inlineStr">
        <is>
          <t>Nitrogen Dioxide (NO2)</t>
        </is>
      </c>
      <c r="I194" t="n">
        <v>16.2</v>
      </c>
      <c r="J194" t="inlineStr">
        <is>
          <t>ug/m3</t>
        </is>
      </c>
      <c r="K194" t="n">
        <v>0</v>
      </c>
      <c r="L194" t="n">
        <v>40</v>
      </c>
      <c r="M194" t="str">
        <f>IF(AND(I194&gt;=K194,I194&lt;=L194),"Yes","No")</f>
        <v>Yes</v>
      </c>
      <c r="N194" s="34">
        <f>IF(L194=0,"",I194/L194)</f>
        <v>0.405</v>
      </c>
      <c r="O194" s="33" t="n">
        <v>450</v>
      </c>
      <c r="P194" t="inlineStr">
        <is>
          <t>St. Joseph's Catholic Hospital</t>
        </is>
      </c>
      <c r="Q194" t="inlineStr">
        <is>
          <t>P. Wleh</t>
        </is>
      </c>
    </row>
    <row r="195">
      <c r="A195" t="inlineStr">
        <is>
          <t>AQ-2026-00192</t>
        </is>
      </c>
      <c r="B195" s="32" t="n">
        <v>46083</v>
      </c>
      <c r="C195" s="33">
        <f>MONTH(B195)</f>
        <v>3</v>
      </c>
      <c r="D195" t="inlineStr">
        <is>
          <t>Montserrado</t>
        </is>
      </c>
      <c r="E195" t="inlineStr">
        <is>
          <t>Firestone Rubber Plantation</t>
        </is>
      </c>
      <c r="F195" t="inlineStr">
        <is>
          <t>Industrial Perimeter</t>
        </is>
      </c>
      <c r="G195" t="inlineStr">
        <is>
          <t>Air</t>
        </is>
      </c>
      <c r="H195" t="inlineStr">
        <is>
          <t>Nitrogen Dioxide (NO2)</t>
        </is>
      </c>
      <c r="I195" t="n">
        <v>35.9</v>
      </c>
      <c r="J195" t="inlineStr">
        <is>
          <t>ug/m3</t>
        </is>
      </c>
      <c r="K195" t="n">
        <v>0</v>
      </c>
      <c r="L195" t="n">
        <v>40</v>
      </c>
      <c r="M195" t="str">
        <f>IF(AND(I195&gt;=K195,I195&lt;=L195),"Yes","No")</f>
        <v>Yes</v>
      </c>
      <c r="N195" s="34">
        <f>IF(L195=0,"",I195/L195)</f>
        <v>0.8975</v>
      </c>
      <c r="O195" s="33" t="n">
        <v>450</v>
      </c>
      <c r="P195" t="inlineStr">
        <is>
          <t>St. Joseph's Catholic Hospital</t>
        </is>
      </c>
      <c r="Q195" t="inlineStr">
        <is>
          <t>E. Sebo</t>
        </is>
      </c>
    </row>
    <row r="196">
      <c r="A196" t="inlineStr">
        <is>
          <t>AQ-2026-00193</t>
        </is>
      </c>
      <c r="B196" s="32" t="n">
        <v>46091</v>
      </c>
      <c r="C196" s="33">
        <f>MONTH(B196)</f>
        <v>3</v>
      </c>
      <c r="D196" t="inlineStr">
        <is>
          <t>Montserrado</t>
        </is>
      </c>
      <c r="E196" t="inlineStr">
        <is>
          <t>Sinkor - Industrial Perimeter</t>
        </is>
      </c>
      <c r="F196" t="inlineStr">
        <is>
          <t>Industrial Perimeter</t>
        </is>
      </c>
      <c r="G196" t="inlineStr">
        <is>
          <t>Air</t>
        </is>
      </c>
      <c r="H196" t="inlineStr">
        <is>
          <t>Sulphur Dioxide (SO2)</t>
        </is>
      </c>
      <c r="I196" t="n">
        <v>329</v>
      </c>
      <c r="J196" t="inlineStr">
        <is>
          <t>ug/m3</t>
        </is>
      </c>
      <c r="K196" t="n">
        <v>0</v>
      </c>
      <c r="L196" t="n">
        <v>125</v>
      </c>
      <c r="M196" t="str">
        <f>IF(AND(I196&gt;=K196,I196&lt;=L196),"Yes","No")</f>
        <v>No</v>
      </c>
      <c r="N196" s="34">
        <f>IF(L196=0,"",I196/L196)</f>
        <v>2.632</v>
      </c>
      <c r="O196" s="33" t="n">
        <v>0</v>
      </c>
      <c r="P196" t="inlineStr">
        <is>
          <t>JFK Memorial Hospital</t>
        </is>
      </c>
      <c r="Q196" t="inlineStr">
        <is>
          <t>T. Mulbah</t>
        </is>
      </c>
    </row>
    <row r="197">
      <c r="A197" t="inlineStr">
        <is>
          <t>AQ-2026-00194</t>
        </is>
      </c>
      <c r="B197" s="32" t="n">
        <v>46084</v>
      </c>
      <c r="C197" s="33">
        <f>MONTH(B197)</f>
        <v>3</v>
      </c>
      <c r="D197" t="inlineStr">
        <is>
          <t>Sinoe</t>
        </is>
      </c>
      <c r="E197" t="inlineStr">
        <is>
          <t>Greenville - Residential Area</t>
        </is>
      </c>
      <c r="F197" t="inlineStr">
        <is>
          <t>Residential Area</t>
        </is>
      </c>
      <c r="G197" t="inlineStr">
        <is>
          <t>Air</t>
        </is>
      </c>
      <c r="H197" t="inlineStr">
        <is>
          <t>Sulphur Dioxide (SO2)</t>
        </is>
      </c>
      <c r="I197" t="n">
        <v>73</v>
      </c>
      <c r="J197" t="inlineStr">
        <is>
          <t>ug/m3</t>
        </is>
      </c>
      <c r="K197" t="n">
        <v>0</v>
      </c>
      <c r="L197" t="n">
        <v>125</v>
      </c>
      <c r="M197" t="str">
        <f>IF(AND(I197&gt;=K197,I197&lt;=L197),"Yes","No")</f>
        <v>Yes</v>
      </c>
      <c r="N197" s="34">
        <f>IF(L197=0,"",I197/L197)</f>
        <v>0.584</v>
      </c>
      <c r="O197" s="33" t="n">
        <v>2200</v>
      </c>
      <c r="P197" t="inlineStr">
        <is>
          <t>Greenville Health Center</t>
        </is>
      </c>
      <c r="Q197" t="inlineStr">
        <is>
          <t>P. Wleh</t>
        </is>
      </c>
    </row>
    <row r="198">
      <c r="A198" t="inlineStr">
        <is>
          <t>WQ-2026-00195</t>
        </is>
      </c>
      <c r="B198" s="32" t="n">
        <v>46104</v>
      </c>
      <c r="C198" s="33">
        <f>MONTH(B198)</f>
        <v>3</v>
      </c>
      <c r="D198" t="inlineStr">
        <is>
          <t>Sinoe</t>
        </is>
      </c>
      <c r="E198" t="inlineStr">
        <is>
          <t>Butaw - River / Stream Intake</t>
        </is>
      </c>
      <c r="F198" t="inlineStr">
        <is>
          <t>River / Stream Intake</t>
        </is>
      </c>
      <c r="G198" t="inlineStr">
        <is>
          <t>Water</t>
        </is>
      </c>
      <c r="H198" t="inlineStr">
        <is>
          <t>Iron</t>
        </is>
      </c>
      <c r="I198" t="n">
        <v>0.01</v>
      </c>
      <c r="J198" t="inlineStr">
        <is>
          <t>mg/L</t>
        </is>
      </c>
      <c r="K198" t="n">
        <v>0</v>
      </c>
      <c r="L198" t="n">
        <v>0.3</v>
      </c>
      <c r="M198" t="str">
        <f>IF(AND(I198&gt;=K198,I198&lt;=L198),"Yes","No")</f>
        <v>Yes</v>
      </c>
      <c r="N198" s="34">
        <f>IF(L198=0,"",I198/L198)</f>
        <v>0.0333333333</v>
      </c>
      <c r="O198" s="33" t="n">
        <v>1200</v>
      </c>
      <c r="P198" t="inlineStr">
        <is>
          <t>F.J. Grante Hospital</t>
        </is>
      </c>
      <c r="Q198" t="inlineStr">
        <is>
          <t>B. Kpadeh</t>
        </is>
      </c>
    </row>
    <row r="199">
      <c r="A199" t="inlineStr">
        <is>
          <t>AQ-2026-00196</t>
        </is>
      </c>
      <c r="B199" s="32" t="n">
        <v>46084</v>
      </c>
      <c r="C199" s="33">
        <f>MONTH(B199)</f>
        <v>3</v>
      </c>
      <c r="D199" t="inlineStr">
        <is>
          <t>Lofa</t>
        </is>
      </c>
      <c r="E199" t="inlineStr">
        <is>
          <t>Voinjama - Residential Area</t>
        </is>
      </c>
      <c r="F199" t="inlineStr">
        <is>
          <t>Residential Area</t>
        </is>
      </c>
      <c r="G199" t="inlineStr">
        <is>
          <t>Air</t>
        </is>
      </c>
      <c r="H199" t="inlineStr">
        <is>
          <t>PM10</t>
        </is>
      </c>
      <c r="I199" t="n">
        <v>6.1</v>
      </c>
      <c r="J199" t="inlineStr">
        <is>
          <t>ug/m3</t>
        </is>
      </c>
      <c r="K199" t="n">
        <v>0</v>
      </c>
      <c r="L199" t="n">
        <v>50</v>
      </c>
      <c r="M199" t="str">
        <f>IF(AND(I199&gt;=K199,I199&lt;=L199),"Yes","No")</f>
        <v>Yes</v>
      </c>
      <c r="N199" s="34">
        <f>IF(L199=0,"",I199/L199)</f>
        <v>0.122</v>
      </c>
      <c r="O199" s="33" t="n">
        <v>200</v>
      </c>
      <c r="P199" t="inlineStr">
        <is>
          <t>Zorzor Hospital</t>
        </is>
      </c>
      <c r="Q199" t="inlineStr">
        <is>
          <t>B. Kpadeh</t>
        </is>
      </c>
    </row>
    <row r="200">
      <c r="A200" t="inlineStr">
        <is>
          <t>WQ-2026-00197</t>
        </is>
      </c>
      <c r="B200" s="32" t="n">
        <v>46100</v>
      </c>
      <c r="C200" s="33">
        <f>MONTH(B200)</f>
        <v>3</v>
      </c>
      <c r="D200" t="inlineStr">
        <is>
          <t>Grand Bassa</t>
        </is>
      </c>
      <c r="E200" t="inlineStr">
        <is>
          <t>Owensgrove - Community Borehole</t>
        </is>
      </c>
      <c r="F200" t="inlineStr">
        <is>
          <t>Community Borehole</t>
        </is>
      </c>
      <c r="G200" t="inlineStr">
        <is>
          <t>Water</t>
        </is>
      </c>
      <c r="H200" t="inlineStr">
        <is>
          <t>Lead</t>
        </is>
      </c>
      <c r="I200" t="n">
        <v>0.0071</v>
      </c>
      <c r="J200" t="inlineStr">
        <is>
          <t>mg/L</t>
        </is>
      </c>
      <c r="K200" t="n">
        <v>0</v>
      </c>
      <c r="L200" t="n">
        <v>0.01</v>
      </c>
      <c r="M200" t="str">
        <f>IF(AND(I200&gt;=K200,I200&lt;=L200),"Yes","No")</f>
        <v>Yes</v>
      </c>
      <c r="N200" s="34">
        <f>IF(L200=0,"",I200/L200)</f>
        <v>0.71</v>
      </c>
      <c r="O200" s="33" t="n">
        <v>1800</v>
      </c>
      <c r="P200" t="inlineStr">
        <is>
          <t>Buchanan Government Hospital</t>
        </is>
      </c>
      <c r="Q200" t="inlineStr">
        <is>
          <t>A. Kollie</t>
        </is>
      </c>
    </row>
    <row r="201">
      <c r="A201" t="inlineStr">
        <is>
          <t>WQ-2026-00198</t>
        </is>
      </c>
      <c r="B201" s="32" t="n">
        <v>46137</v>
      </c>
      <c r="C201" s="33">
        <f>MONTH(B201)</f>
        <v>4</v>
      </c>
      <c r="D201" t="inlineStr">
        <is>
          <t>Lofa</t>
        </is>
      </c>
      <c r="E201" t="inlineStr">
        <is>
          <t>Voinjama - School Water Point</t>
        </is>
      </c>
      <c r="F201" t="inlineStr">
        <is>
          <t>School Water Point</t>
        </is>
      </c>
      <c r="G201" t="inlineStr">
        <is>
          <t>Water</t>
        </is>
      </c>
      <c r="H201" t="inlineStr">
        <is>
          <t>Manganese</t>
        </is>
      </c>
      <c r="I201" t="n">
        <v>1.08</v>
      </c>
      <c r="J201" t="inlineStr">
        <is>
          <t>mg/L</t>
        </is>
      </c>
      <c r="K201" t="n">
        <v>0</v>
      </c>
      <c r="L201" t="n">
        <v>0.4</v>
      </c>
      <c r="M201" t="str">
        <f>IF(AND(I201&gt;=K201,I201&lt;=L201),"Yes","No")</f>
        <v>No</v>
      </c>
      <c r="N201" s="34">
        <f>IF(L201=0,"",I201/L201)</f>
        <v>2.7</v>
      </c>
      <c r="O201" s="33" t="n">
        <v>1800</v>
      </c>
      <c r="P201" t="inlineStr">
        <is>
          <t>Zorzor Hospital</t>
        </is>
      </c>
      <c r="Q201" t="inlineStr">
        <is>
          <t>T. Mulbah</t>
        </is>
      </c>
    </row>
    <row r="202">
      <c r="A202" t="inlineStr">
        <is>
          <t>WQ-2026-00199</t>
        </is>
      </c>
      <c r="B202" s="32" t="n">
        <v>46130</v>
      </c>
      <c r="C202" s="33">
        <f>MONTH(B202)</f>
        <v>4</v>
      </c>
      <c r="D202" t="inlineStr">
        <is>
          <t>Montserrado</t>
        </is>
      </c>
      <c r="E202" t="inlineStr">
        <is>
          <t>Sinkor - School Water Point</t>
        </is>
      </c>
      <c r="F202" t="inlineStr">
        <is>
          <t>School Water Point</t>
        </is>
      </c>
      <c r="G202" t="inlineStr">
        <is>
          <t>Water</t>
        </is>
      </c>
      <c r="H202" t="inlineStr">
        <is>
          <t>Total Coliform</t>
        </is>
      </c>
      <c r="I202" t="n">
        <v>6</v>
      </c>
      <c r="J202" t="inlineStr">
        <is>
          <t>CFU/100 mL</t>
        </is>
      </c>
      <c r="K202" t="n">
        <v>0</v>
      </c>
      <c r="L202" t="n">
        <v>0</v>
      </c>
      <c r="M202" t="str">
        <f>IF(AND(I202&gt;=K202,I202&lt;=L202),"Yes","No")</f>
        <v>No</v>
      </c>
      <c r="N202" s="34">
        <f>IF(L202=0,"",I202/L202)</f>
        <v/>
      </c>
      <c r="O202" s="33" t="n">
        <v>4200</v>
      </c>
      <c r="P202" t="inlineStr">
        <is>
          <t>St. Joseph's Catholic Hospital</t>
        </is>
      </c>
      <c r="Q202" t="inlineStr">
        <is>
          <t>A. Kollie</t>
        </is>
      </c>
    </row>
    <row r="203">
      <c r="A203" t="inlineStr">
        <is>
          <t>WQ-2026-00200</t>
        </is>
      </c>
      <c r="B203" s="32" t="n">
        <v>46129</v>
      </c>
      <c r="C203" s="33">
        <f>MONTH(B203)</f>
        <v>4</v>
      </c>
      <c r="D203" t="inlineStr">
        <is>
          <t>Lofa</t>
        </is>
      </c>
      <c r="E203" t="inlineStr">
        <is>
          <t>Kolahun - River / Stream Intake</t>
        </is>
      </c>
      <c r="F203" t="inlineStr">
        <is>
          <t>River / Stream Intake</t>
        </is>
      </c>
      <c r="G203" t="inlineStr">
        <is>
          <t>Water</t>
        </is>
      </c>
      <c r="H203" t="inlineStr">
        <is>
          <t>E. coli</t>
        </is>
      </c>
      <c r="I203" t="n">
        <v>0</v>
      </c>
      <c r="J203" t="inlineStr">
        <is>
          <t>CFU/100 mL</t>
        </is>
      </c>
      <c r="K203" t="n">
        <v>0</v>
      </c>
      <c r="L203" t="n">
        <v>0</v>
      </c>
      <c r="M203" t="str">
        <f>IF(AND(I203&gt;=K203,I203&lt;=L203),"Yes","No")</f>
        <v>Yes</v>
      </c>
      <c r="N203" s="34">
        <f>IF(L203=0,"",I203/L203)</f>
        <v/>
      </c>
      <c r="O203" s="33" t="n">
        <v>350</v>
      </c>
      <c r="P203" t="inlineStr">
        <is>
          <t>Zorzor Hospital</t>
        </is>
      </c>
      <c r="Q203" t="inlineStr">
        <is>
          <t>P. Wleh</t>
        </is>
      </c>
    </row>
    <row r="204">
      <c r="A204" t="inlineStr">
        <is>
          <t>SL-2026-00201</t>
        </is>
      </c>
      <c r="B204" s="32" t="n">
        <v>46138</v>
      </c>
      <c r="C204" s="33">
        <f>MONTH(B204)</f>
        <v>4</v>
      </c>
      <c r="D204" t="inlineStr">
        <is>
          <t>Montserrado</t>
        </is>
      </c>
      <c r="E204" t="inlineStr">
        <is>
          <t>Sinkor - School Grounds</t>
        </is>
      </c>
      <c r="F204" t="inlineStr">
        <is>
          <t>School Grounds</t>
        </is>
      </c>
      <c r="G204" t="inlineStr">
        <is>
          <t>Soil</t>
        </is>
      </c>
      <c r="H204" t="inlineStr">
        <is>
          <t>Lead</t>
        </is>
      </c>
      <c r="I204" t="n">
        <v>65</v>
      </c>
      <c r="J204" t="inlineStr">
        <is>
          <t>mg/kg</t>
        </is>
      </c>
      <c r="K204" t="n">
        <v>0</v>
      </c>
      <c r="L204" t="n">
        <v>100</v>
      </c>
      <c r="M204" t="str">
        <f>IF(AND(I204&gt;=K204,I204&lt;=L204),"Yes","No")</f>
        <v>Yes</v>
      </c>
      <c r="N204" s="34">
        <f>IF(L204=0,"",I204/L204)</f>
        <v>0.65</v>
      </c>
      <c r="O204" s="33" t="n">
        <v>450</v>
      </c>
      <c r="P204" t="inlineStr">
        <is>
          <t>Benson Hospital</t>
        </is>
      </c>
      <c r="Q204" t="inlineStr">
        <is>
          <t>P. Wleh</t>
        </is>
      </c>
    </row>
    <row r="205">
      <c r="A205" t="inlineStr">
        <is>
          <t>WQ-2026-00202</t>
        </is>
      </c>
      <c r="B205" s="32" t="n">
        <v>46131</v>
      </c>
      <c r="C205" s="33">
        <f>MONTH(B205)</f>
        <v>4</v>
      </c>
      <c r="D205" t="inlineStr">
        <is>
          <t>Montserrado</t>
        </is>
      </c>
      <c r="E205" t="inlineStr">
        <is>
          <t>Gardnersville - Public Tap Stand</t>
        </is>
      </c>
      <c r="F205" t="inlineStr">
        <is>
          <t>Public Tap Stand</t>
        </is>
      </c>
      <c r="G205" t="inlineStr">
        <is>
          <t>Water</t>
        </is>
      </c>
      <c r="H205" t="inlineStr">
        <is>
          <t>Lead</t>
        </is>
      </c>
      <c r="I205" t="n">
        <v>0.0034</v>
      </c>
      <c r="J205" t="inlineStr">
        <is>
          <t>mg/L</t>
        </is>
      </c>
      <c r="K205" t="n">
        <v>0</v>
      </c>
      <c r="L205" t="n">
        <v>0.01</v>
      </c>
      <c r="M205" t="str">
        <f>IF(AND(I205&gt;=K205,I205&lt;=L205),"Yes","No")</f>
        <v>Yes</v>
      </c>
      <c r="N205" s="34">
        <f>IF(L205=0,"",I205/L205)</f>
        <v>0.34</v>
      </c>
      <c r="O205" s="33" t="n">
        <v>1200</v>
      </c>
      <c r="P205" t="inlineStr">
        <is>
          <t>Redemption Hospital</t>
        </is>
      </c>
      <c r="Q205" t="inlineStr">
        <is>
          <t>M. Toe</t>
        </is>
      </c>
    </row>
    <row r="206">
      <c r="A206" t="inlineStr">
        <is>
          <t>WQ-2026-00203</t>
        </is>
      </c>
      <c r="B206" s="32" t="n">
        <v>46138</v>
      </c>
      <c r="C206" s="33">
        <f>MONTH(B206)</f>
        <v>4</v>
      </c>
      <c r="D206" t="inlineStr">
        <is>
          <t>Bomi</t>
        </is>
      </c>
      <c r="E206" t="inlineStr">
        <is>
          <t>Tubmanburg - Health Facility Supply</t>
        </is>
      </c>
      <c r="F206" t="inlineStr">
        <is>
          <t>Health Facility Supply</t>
        </is>
      </c>
      <c r="G206" t="inlineStr">
        <is>
          <t>Water</t>
        </is>
      </c>
      <c r="H206" t="inlineStr">
        <is>
          <t>Lead</t>
        </is>
      </c>
      <c r="I206" t="n">
        <v>0.0068</v>
      </c>
      <c r="J206" t="inlineStr">
        <is>
          <t>mg/L</t>
        </is>
      </c>
      <c r="K206" t="n">
        <v>0</v>
      </c>
      <c r="L206" t="n">
        <v>0.01</v>
      </c>
      <c r="M206" t="str">
        <f>IF(AND(I206&gt;=K206,I206&lt;=L206),"Yes","No")</f>
        <v>Yes</v>
      </c>
      <c r="N206" s="34">
        <f>IF(L206=0,"",I206/L206)</f>
        <v>0.68</v>
      </c>
      <c r="O206" s="33" t="n">
        <v>900</v>
      </c>
      <c r="P206" t="inlineStr">
        <is>
          <t>Klay Clinic</t>
        </is>
      </c>
      <c r="Q206" t="inlineStr">
        <is>
          <t>P. Wleh</t>
        </is>
      </c>
    </row>
    <row r="207">
      <c r="A207" t="inlineStr">
        <is>
          <t>SL-2026-00204</t>
        </is>
      </c>
      <c r="B207" s="32" t="n">
        <v>46132</v>
      </c>
      <c r="C207" s="33">
        <f>MONTH(B207)</f>
        <v>4</v>
      </c>
      <c r="D207" t="inlineStr">
        <is>
          <t>Margibi</t>
        </is>
      </c>
      <c r="E207" t="inlineStr">
        <is>
          <t>Kakata - Dumpsite Perimeter</t>
        </is>
      </c>
      <c r="F207" t="inlineStr">
        <is>
          <t>Dumpsite Perimeter</t>
        </is>
      </c>
      <c r="G207" t="inlineStr">
        <is>
          <t>Soil</t>
        </is>
      </c>
      <c r="H207" t="inlineStr">
        <is>
          <t>Cadmium</t>
        </is>
      </c>
      <c r="I207" t="n">
        <v>1.7</v>
      </c>
      <c r="J207" t="inlineStr">
        <is>
          <t>mg/kg</t>
        </is>
      </c>
      <c r="K207" t="n">
        <v>0</v>
      </c>
      <c r="L207" t="n">
        <v>3</v>
      </c>
      <c r="M207" t="str">
        <f>IF(AND(I207&gt;=K207,I207&lt;=L207),"Yes","No")</f>
        <v>Yes</v>
      </c>
      <c r="N207" s="34">
        <f>IF(L207=0,"",I207/L207)</f>
        <v>0.5666666667</v>
      </c>
      <c r="O207" s="33" t="n">
        <v>800</v>
      </c>
      <c r="P207" t="inlineStr">
        <is>
          <t>Harbel Health Center</t>
        </is>
      </c>
      <c r="Q207" t="inlineStr">
        <is>
          <t>M. Toe</t>
        </is>
      </c>
    </row>
    <row r="208">
      <c r="A208" t="inlineStr">
        <is>
          <t>WQ-2026-00205</t>
        </is>
      </c>
      <c r="B208" s="32" t="n">
        <v>46131</v>
      </c>
      <c r="C208" s="33">
        <f>MONTH(B208)</f>
        <v>4</v>
      </c>
      <c r="D208" t="inlineStr">
        <is>
          <t>Nimba</t>
        </is>
      </c>
      <c r="E208" t="inlineStr">
        <is>
          <t>Yekepa - Health Facility Supply</t>
        </is>
      </c>
      <c r="F208" t="inlineStr">
        <is>
          <t>Health Facility Supply</t>
        </is>
      </c>
      <c r="G208" t="inlineStr">
        <is>
          <t>Water</t>
        </is>
      </c>
      <c r="H208" t="inlineStr">
        <is>
          <t>Total Coliform</t>
        </is>
      </c>
      <c r="I208" t="n">
        <v>0</v>
      </c>
      <c r="J208" t="inlineStr">
        <is>
          <t>CFU/100 mL</t>
        </is>
      </c>
      <c r="K208" t="n">
        <v>0</v>
      </c>
      <c r="L208" t="n">
        <v>0</v>
      </c>
      <c r="M208" t="str">
        <f>IF(AND(I208&gt;=K208,I208&lt;=L208),"Yes","No")</f>
        <v>Yes</v>
      </c>
      <c r="N208" s="34">
        <f>IF(L208=0,"",I208/L208)</f>
        <v/>
      </c>
      <c r="O208" s="33" t="n">
        <v>2500</v>
      </c>
      <c r="P208" t="inlineStr">
        <is>
          <t>Ganta United Methodist Hospital</t>
        </is>
      </c>
      <c r="Q208" t="inlineStr">
        <is>
          <t>P. Wleh</t>
        </is>
      </c>
    </row>
    <row r="209">
      <c r="A209" t="inlineStr">
        <is>
          <t>AQ-2026-00206</t>
        </is>
      </c>
      <c r="B209" s="32" t="n">
        <v>46120</v>
      </c>
      <c r="C209" s="33">
        <f>MONTH(B209)</f>
        <v>4</v>
      </c>
      <c r="D209" t="inlineStr">
        <is>
          <t>Grand Bassa</t>
        </is>
      </c>
      <c r="E209" t="inlineStr">
        <is>
          <t>Owensgrove - Market Area</t>
        </is>
      </c>
      <c r="F209" t="inlineStr">
        <is>
          <t>Market Area</t>
        </is>
      </c>
      <c r="G209" t="inlineStr">
        <is>
          <t>Air</t>
        </is>
      </c>
      <c r="H209" t="inlineStr">
        <is>
          <t>PM10</t>
        </is>
      </c>
      <c r="I209" t="n">
        <v>5.1</v>
      </c>
      <c r="J209" t="inlineStr">
        <is>
          <t>ug/m3</t>
        </is>
      </c>
      <c r="K209" t="n">
        <v>0</v>
      </c>
      <c r="L209" t="n">
        <v>50</v>
      </c>
      <c r="M209" t="str">
        <f>IF(AND(I209&gt;=K209,I209&lt;=L209),"Yes","No")</f>
        <v>Yes</v>
      </c>
      <c r="N209" s="34">
        <f>IF(L209=0,"",I209/L209)</f>
        <v>0.102</v>
      </c>
      <c r="O209" s="33" t="n">
        <v>200</v>
      </c>
      <c r="P209" t="inlineStr">
        <is>
          <t>Buchanan Government Hospital</t>
        </is>
      </c>
      <c r="Q209" t="inlineStr">
        <is>
          <t>T. Mulbah</t>
        </is>
      </c>
    </row>
    <row r="210">
      <c r="A210" t="inlineStr">
        <is>
          <t>SL-2026-00207</t>
        </is>
      </c>
      <c r="B210" s="32" t="n">
        <v>46136</v>
      </c>
      <c r="C210" s="33">
        <f>MONTH(B210)</f>
        <v>4</v>
      </c>
      <c r="D210" t="inlineStr">
        <is>
          <t>Montserrado</t>
        </is>
      </c>
      <c r="E210" t="inlineStr">
        <is>
          <t>West Point - Playground</t>
        </is>
      </c>
      <c r="F210" t="inlineStr">
        <is>
          <t>Playground</t>
        </is>
      </c>
      <c r="G210" t="inlineStr">
        <is>
          <t>Soil</t>
        </is>
      </c>
      <c r="H210" t="inlineStr">
        <is>
          <t>Lead</t>
        </is>
      </c>
      <c r="I210" t="n">
        <v>48</v>
      </c>
      <c r="J210" t="inlineStr">
        <is>
          <t>mg/kg</t>
        </is>
      </c>
      <c r="K210" t="n">
        <v>0</v>
      </c>
      <c r="L210" t="n">
        <v>100</v>
      </c>
      <c r="M210" t="str">
        <f>IF(AND(I210&gt;=K210,I210&lt;=L210),"Yes","No")</f>
        <v>Yes</v>
      </c>
      <c r="N210" s="34">
        <f>IF(L210=0,"",I210/L210)</f>
        <v>0.48</v>
      </c>
      <c r="O210" s="33" t="n">
        <v>3500</v>
      </c>
      <c r="P210" t="inlineStr">
        <is>
          <t>Redemption Hospital</t>
        </is>
      </c>
      <c r="Q210" t="inlineStr">
        <is>
          <t>B. Kpadeh</t>
        </is>
      </c>
    </row>
    <row r="211">
      <c r="A211" t="inlineStr">
        <is>
          <t>AQ-2026-00208</t>
        </is>
      </c>
      <c r="B211" s="32" t="n">
        <v>46118</v>
      </c>
      <c r="C211" s="33">
        <f>MONTH(B211)</f>
        <v>4</v>
      </c>
      <c r="D211" t="inlineStr">
        <is>
          <t>Nimba</t>
        </is>
      </c>
      <c r="E211" t="inlineStr">
        <is>
          <t>Karnplay - Industrial Perimeter</t>
        </is>
      </c>
      <c r="F211" t="inlineStr">
        <is>
          <t>Industrial Perimeter</t>
        </is>
      </c>
      <c r="G211" t="inlineStr">
        <is>
          <t>Air</t>
        </is>
      </c>
      <c r="H211" t="inlineStr">
        <is>
          <t>PM10</t>
        </is>
      </c>
      <c r="I211" t="n">
        <v>15.2</v>
      </c>
      <c r="J211" t="inlineStr">
        <is>
          <t>ug/m3</t>
        </is>
      </c>
      <c r="K211" t="n">
        <v>0</v>
      </c>
      <c r="L211" t="n">
        <v>50</v>
      </c>
      <c r="M211" t="str">
        <f>IF(AND(I211&gt;=K211,I211&lt;=L211),"Yes","No")</f>
        <v>Yes</v>
      </c>
      <c r="N211" s="34">
        <f>IF(L211=0,"",I211/L211)</f>
        <v>0.304</v>
      </c>
      <c r="O211" s="33" t="n">
        <v>0</v>
      </c>
      <c r="P211" t="inlineStr">
        <is>
          <t>Ganta United Methodist Hospital</t>
        </is>
      </c>
      <c r="Q211" t="inlineStr">
        <is>
          <t>J. Nyeman</t>
        </is>
      </c>
    </row>
    <row r="212">
      <c r="A212" t="inlineStr">
        <is>
          <t>AQ-2026-00209</t>
        </is>
      </c>
      <c r="B212" s="32" t="n">
        <v>46135</v>
      </c>
      <c r="C212" s="33">
        <f>MONTH(B212)</f>
        <v>4</v>
      </c>
      <c r="D212" t="inlineStr">
        <is>
          <t>Montserrado</t>
        </is>
      </c>
      <c r="E212" t="inlineStr">
        <is>
          <t>Brewerville - Residential Area</t>
        </is>
      </c>
      <c r="F212" t="inlineStr">
        <is>
          <t>Residential Area</t>
        </is>
      </c>
      <c r="G212" t="inlineStr">
        <is>
          <t>Air</t>
        </is>
      </c>
      <c r="H212" t="inlineStr">
        <is>
          <t>PM10</t>
        </is>
      </c>
      <c r="I212" t="n">
        <v>33.7</v>
      </c>
      <c r="J212" t="inlineStr">
        <is>
          <t>ug/m3</t>
        </is>
      </c>
      <c r="K212" t="n">
        <v>0</v>
      </c>
      <c r="L212" t="n">
        <v>50</v>
      </c>
      <c r="M212" t="str">
        <f>IF(AND(I212&gt;=K212,I212&lt;=L212),"Yes","No")</f>
        <v>Yes</v>
      </c>
      <c r="N212" s="34">
        <f>IF(L212=0,"",I212/L212)</f>
        <v>0.674</v>
      </c>
      <c r="O212" s="33" t="n">
        <v>0</v>
      </c>
      <c r="P212" t="inlineStr">
        <is>
          <t>St. Joseph's Catholic Hospital</t>
        </is>
      </c>
      <c r="Q212" t="inlineStr">
        <is>
          <t>J. Nyeman</t>
        </is>
      </c>
    </row>
    <row r="213">
      <c r="A213" t="inlineStr">
        <is>
          <t>AQ-2026-00210</t>
        </is>
      </c>
      <c r="B213" s="32" t="n">
        <v>46115</v>
      </c>
      <c r="C213" s="33">
        <f>MONTH(B213)</f>
        <v>4</v>
      </c>
      <c r="D213" t="inlineStr">
        <is>
          <t>Margibi</t>
        </is>
      </c>
      <c r="E213" t="inlineStr">
        <is>
          <t>Firestone - Industrial Perimeter</t>
        </is>
      </c>
      <c r="F213" t="inlineStr">
        <is>
          <t>Industrial Perimeter</t>
        </is>
      </c>
      <c r="G213" t="inlineStr">
        <is>
          <t>Air</t>
        </is>
      </c>
      <c r="H213" t="inlineStr">
        <is>
          <t>PM10</t>
        </is>
      </c>
      <c r="I213" t="n">
        <v>31.2</v>
      </c>
      <c r="J213" t="inlineStr">
        <is>
          <t>ug/m3</t>
        </is>
      </c>
      <c r="K213" t="n">
        <v>0</v>
      </c>
      <c r="L213" t="n">
        <v>50</v>
      </c>
      <c r="M213" t="str">
        <f>IF(AND(I213&gt;=K213,I213&lt;=L213),"Yes","No")</f>
        <v>Yes</v>
      </c>
      <c r="N213" s="34">
        <f>IF(L213=0,"",I213/L213)</f>
        <v>0.624</v>
      </c>
      <c r="O213" s="33" t="n">
        <v>450</v>
      </c>
      <c r="P213" t="inlineStr">
        <is>
          <t>C.H. Rennie Hospital</t>
        </is>
      </c>
      <c r="Q213" t="inlineStr">
        <is>
          <t>M. Toe</t>
        </is>
      </c>
    </row>
    <row r="214">
      <c r="A214" t="inlineStr">
        <is>
          <t>WQ-2026-00211</t>
        </is>
      </c>
      <c r="B214" s="32" t="n">
        <v>46129</v>
      </c>
      <c r="C214" s="33">
        <f>MONTH(B214)</f>
        <v>4</v>
      </c>
      <c r="D214" t="inlineStr">
        <is>
          <t>Grand Cape Mount</t>
        </is>
      </c>
      <c r="E214" t="inlineStr">
        <is>
          <t>Tieni - River / Stream Intake</t>
        </is>
      </c>
      <c r="F214" t="inlineStr">
        <is>
          <t>River / Stream Intake</t>
        </is>
      </c>
      <c r="G214" t="inlineStr">
        <is>
          <t>Water</t>
        </is>
      </c>
      <c r="H214" t="inlineStr">
        <is>
          <t>Arsenic</t>
        </is>
      </c>
      <c r="I214" t="n">
        <v>0.0005</v>
      </c>
      <c r="J214" t="inlineStr">
        <is>
          <t>mg/L</t>
        </is>
      </c>
      <c r="K214" t="n">
        <v>0</v>
      </c>
      <c r="L214" t="n">
        <v>0.01</v>
      </c>
      <c r="M214" t="str">
        <f>IF(AND(I214&gt;=K214,I214&lt;=L214),"Yes","No")</f>
        <v>Yes</v>
      </c>
      <c r="N214" s="34">
        <f>IF(L214=0,"",I214/L214)</f>
        <v>0.05</v>
      </c>
      <c r="O214" s="33" t="n">
        <v>750</v>
      </c>
      <c r="P214" t="inlineStr">
        <is>
          <t>St. Timothy Hospital</t>
        </is>
      </c>
      <c r="Q214" t="inlineStr">
        <is>
          <t>F. Gbato</t>
        </is>
      </c>
    </row>
    <row r="215">
      <c r="A215" t="inlineStr">
        <is>
          <t>WQ-2026-00212</t>
        </is>
      </c>
      <c r="B215" s="32" t="n">
        <v>46113</v>
      </c>
      <c r="C215" s="33">
        <f>MONTH(B215)</f>
        <v>4</v>
      </c>
      <c r="D215" t="inlineStr">
        <is>
          <t>Grand Gedeh</t>
        </is>
      </c>
      <c r="E215" t="inlineStr">
        <is>
          <t>B'hai - Hand-Dug Well</t>
        </is>
      </c>
      <c r="F215" t="inlineStr">
        <is>
          <t>Hand-Dug Well</t>
        </is>
      </c>
      <c r="G215" t="inlineStr">
        <is>
          <t>Water</t>
        </is>
      </c>
      <c r="H215" t="inlineStr">
        <is>
          <t>Lead</t>
        </is>
      </c>
      <c r="I215" t="n">
        <v>0.0011</v>
      </c>
      <c r="J215" t="inlineStr">
        <is>
          <t>mg/L</t>
        </is>
      </c>
      <c r="K215" t="n">
        <v>0</v>
      </c>
      <c r="L215" t="n">
        <v>0.01</v>
      </c>
      <c r="M215" t="str">
        <f>IF(AND(I215&gt;=K215,I215&lt;=L215),"Yes","No")</f>
        <v>Yes</v>
      </c>
      <c r="N215" s="34">
        <f>IF(L215=0,"",I215/L215)</f>
        <v>0.11</v>
      </c>
      <c r="O215" s="33" t="n">
        <v>240</v>
      </c>
      <c r="P215" t="inlineStr">
        <is>
          <t>Zwedru Health Center</t>
        </is>
      </c>
      <c r="Q215" t="inlineStr">
        <is>
          <t>S. Dolo</t>
        </is>
      </c>
    </row>
    <row r="216">
      <c r="A216" t="inlineStr">
        <is>
          <t>WQ-2026-00213</t>
        </is>
      </c>
      <c r="B216" s="32" t="n">
        <v>46139</v>
      </c>
      <c r="C216" s="33">
        <f>MONTH(B216)</f>
        <v>4</v>
      </c>
      <c r="D216" t="inlineStr">
        <is>
          <t>Nimba</t>
        </is>
      </c>
      <c r="E216" t="inlineStr">
        <is>
          <t>Saclepea - Hand-Dug Well</t>
        </is>
      </c>
      <c r="F216" t="inlineStr">
        <is>
          <t>Hand-Dug Well</t>
        </is>
      </c>
      <c r="G216" t="inlineStr">
        <is>
          <t>Water</t>
        </is>
      </c>
      <c r="H216" t="inlineStr">
        <is>
          <t>Turbidity</t>
        </is>
      </c>
      <c r="I216" t="n">
        <v>1.1</v>
      </c>
      <c r="J216" t="inlineStr">
        <is>
          <t>NTU</t>
        </is>
      </c>
      <c r="K216" t="n">
        <v>0</v>
      </c>
      <c r="L216" t="n">
        <v>5</v>
      </c>
      <c r="M216" t="str">
        <f>IF(AND(I216&gt;=K216,I216&lt;=L216),"Yes","No")</f>
        <v>Yes</v>
      </c>
      <c r="N216" s="34">
        <f>IF(L216=0,"",I216/L216)</f>
        <v>0.22</v>
      </c>
      <c r="O216" s="33" t="n">
        <v>500</v>
      </c>
      <c r="P216" t="inlineStr">
        <is>
          <t>Saclepea Health Center</t>
        </is>
      </c>
      <c r="Q216" t="inlineStr">
        <is>
          <t>M. Toe</t>
        </is>
      </c>
    </row>
    <row r="217">
      <c r="A217" t="inlineStr">
        <is>
          <t>AQ-2026-00214</t>
        </is>
      </c>
      <c r="B217" s="32" t="n">
        <v>46117</v>
      </c>
      <c r="C217" s="33">
        <f>MONTH(B217)</f>
        <v>4</v>
      </c>
      <c r="D217" t="inlineStr">
        <is>
          <t>Grand Bassa</t>
        </is>
      </c>
      <c r="E217" t="inlineStr">
        <is>
          <t>Edina - Dumpsite Perimeter</t>
        </is>
      </c>
      <c r="F217" t="inlineStr">
        <is>
          <t>Dumpsite Perimeter</t>
        </is>
      </c>
      <c r="G217" t="inlineStr">
        <is>
          <t>Air</t>
        </is>
      </c>
      <c r="H217" t="inlineStr">
        <is>
          <t>Sulphur Dioxide (SO2)</t>
        </is>
      </c>
      <c r="I217" t="n">
        <v>34</v>
      </c>
      <c r="J217" t="inlineStr">
        <is>
          <t>ug/m3</t>
        </is>
      </c>
      <c r="K217" t="n">
        <v>0</v>
      </c>
      <c r="L217" t="n">
        <v>125</v>
      </c>
      <c r="M217" t="str">
        <f>IF(AND(I217&gt;=K217,I217&lt;=L217),"Yes","No")</f>
        <v>Yes</v>
      </c>
      <c r="N217" s="34">
        <f>IF(L217=0,"",I217/L217)</f>
        <v>0.272</v>
      </c>
      <c r="O217" s="33" t="n">
        <v>450</v>
      </c>
      <c r="P217" t="inlineStr">
        <is>
          <t>Buchanan Government Hospital</t>
        </is>
      </c>
      <c r="Q217" t="inlineStr">
        <is>
          <t>T. Mulbah</t>
        </is>
      </c>
    </row>
    <row r="218">
      <c r="A218" t="inlineStr">
        <is>
          <t>AQ-2026-00215</t>
        </is>
      </c>
      <c r="B218" s="32" t="n">
        <v>46117</v>
      </c>
      <c r="C218" s="33">
        <f>MONTH(B218)</f>
        <v>4</v>
      </c>
      <c r="D218" t="inlineStr">
        <is>
          <t>Montserrado</t>
        </is>
      </c>
      <c r="E218" t="inlineStr">
        <is>
          <t>New Kru Town - Industrial Perimeter</t>
        </is>
      </c>
      <c r="F218" t="inlineStr">
        <is>
          <t>Industrial Perimeter</t>
        </is>
      </c>
      <c r="G218" t="inlineStr">
        <is>
          <t>Air</t>
        </is>
      </c>
      <c r="H218" t="inlineStr">
        <is>
          <t>Sulphur Dioxide (SO2)</t>
        </is>
      </c>
      <c r="I218" t="n">
        <v>261</v>
      </c>
      <c r="J218" t="inlineStr">
        <is>
          <t>ug/m3</t>
        </is>
      </c>
      <c r="K218" t="n">
        <v>0</v>
      </c>
      <c r="L218" t="n">
        <v>125</v>
      </c>
      <c r="M218" t="str">
        <f>IF(AND(I218&gt;=K218,I218&lt;=L218),"Yes","No")</f>
        <v>No</v>
      </c>
      <c r="N218" s="34">
        <f>IF(L218=0,"",I218/L218)</f>
        <v>2.088</v>
      </c>
      <c r="O218" s="33" t="n">
        <v>0</v>
      </c>
      <c r="P218" t="inlineStr">
        <is>
          <t>Redemption Hospital</t>
        </is>
      </c>
      <c r="Q218" t="inlineStr">
        <is>
          <t>M. Toe</t>
        </is>
      </c>
    </row>
    <row r="219">
      <c r="A219" t="inlineStr">
        <is>
          <t>RD-2026-00216</t>
        </is>
      </c>
      <c r="B219" s="32" t="n">
        <v>46113</v>
      </c>
      <c r="C219" s="33">
        <f>MONTH(B219)</f>
        <v>4</v>
      </c>
      <c r="D219" t="inlineStr">
        <is>
          <t>Grand Bassa</t>
        </is>
      </c>
      <c r="E219" t="inlineStr">
        <is>
          <t>Edina - Medical Facility</t>
        </is>
      </c>
      <c r="F219" t="inlineStr">
        <is>
          <t>Medical Facility</t>
        </is>
      </c>
      <c r="G219" t="inlineStr">
        <is>
          <t>Ambient Radiation</t>
        </is>
      </c>
      <c r="H219" t="inlineStr">
        <is>
          <t>Gamma Dose Rate</t>
        </is>
      </c>
      <c r="I219" t="n">
        <v>0.14</v>
      </c>
      <c r="J219" t="inlineStr">
        <is>
          <t>uSv/h</t>
        </is>
      </c>
      <c r="K219" t="n">
        <v>0</v>
      </c>
      <c r="L219" t="n">
        <v>0.3</v>
      </c>
      <c r="M219" t="str">
        <f>IF(AND(I219&gt;=K219,I219&lt;=L219),"Yes","No")</f>
        <v>Yes</v>
      </c>
      <c r="N219" s="34">
        <f>IF(L219=0,"",I219/L219)</f>
        <v>0.4666666667</v>
      </c>
      <c r="O219" s="33" t="n">
        <v>0</v>
      </c>
      <c r="P219" t="inlineStr">
        <is>
          <t>Buchanan Government Hospital</t>
        </is>
      </c>
      <c r="Q219" t="inlineStr">
        <is>
          <t>B. Kpadeh</t>
        </is>
      </c>
    </row>
    <row r="220">
      <c r="A220" t="inlineStr">
        <is>
          <t>WQ-2026-00217</t>
        </is>
      </c>
      <c r="B220" s="32" t="n">
        <v>46115</v>
      </c>
      <c r="C220" s="33">
        <f>MONTH(B220)</f>
        <v>4</v>
      </c>
      <c r="D220" t="inlineStr">
        <is>
          <t>Gbarpolu</t>
        </is>
      </c>
      <c r="E220" t="inlineStr">
        <is>
          <t>Bopolu - Health Facility Supply</t>
        </is>
      </c>
      <c r="F220" t="inlineStr">
        <is>
          <t>Health Facility Supply</t>
        </is>
      </c>
      <c r="G220" t="inlineStr">
        <is>
          <t>Water</t>
        </is>
      </c>
      <c r="H220" t="inlineStr">
        <is>
          <t>Lead</t>
        </is>
      </c>
      <c r="I220" t="n">
        <v>0.0018</v>
      </c>
      <c r="J220" t="inlineStr">
        <is>
          <t>mg/L</t>
        </is>
      </c>
      <c r="K220" t="n">
        <v>0</v>
      </c>
      <c r="L220" t="n">
        <v>0.01</v>
      </c>
      <c r="M220" t="str">
        <f>IF(AND(I220&gt;=K220,I220&lt;=L220),"Yes","No")</f>
        <v>Yes</v>
      </c>
      <c r="N220" s="34">
        <f>IF(L220=0,"",I220/L220)</f>
        <v>0.18</v>
      </c>
      <c r="O220" s="33" t="n">
        <v>500</v>
      </c>
      <c r="P220" t="inlineStr">
        <is>
          <t>Bopolu Health Center</t>
        </is>
      </c>
      <c r="Q220" t="inlineStr">
        <is>
          <t>B. Kpadeh</t>
        </is>
      </c>
    </row>
    <row r="221">
      <c r="A221" t="inlineStr">
        <is>
          <t>RD-2026-00218</t>
        </is>
      </c>
      <c r="B221" s="32" t="n">
        <v>46136</v>
      </c>
      <c r="C221" s="33">
        <f>MONTH(B221)</f>
        <v>4</v>
      </c>
      <c r="D221" t="inlineStr">
        <is>
          <t>Grand Bassa</t>
        </is>
      </c>
      <c r="E221" t="inlineStr">
        <is>
          <t>Edina - Urban Background</t>
        </is>
      </c>
      <c r="F221" t="inlineStr">
        <is>
          <t>Urban Background</t>
        </is>
      </c>
      <c r="G221" t="inlineStr">
        <is>
          <t>Ambient Radiation</t>
        </is>
      </c>
      <c r="H221" t="inlineStr">
        <is>
          <t>Gamma Dose Rate</t>
        </is>
      </c>
      <c r="I221" t="n">
        <v>0.04</v>
      </c>
      <c r="J221" t="inlineStr">
        <is>
          <t>uSv/h</t>
        </is>
      </c>
      <c r="K221" t="n">
        <v>0</v>
      </c>
      <c r="L221" t="n">
        <v>0.3</v>
      </c>
      <c r="M221" t="str">
        <f>IF(AND(I221&gt;=K221,I221&lt;=L221),"Yes","No")</f>
        <v>Yes</v>
      </c>
      <c r="N221" s="34">
        <f>IF(L221=0,"",I221/L221)</f>
        <v>0.1333333333</v>
      </c>
      <c r="O221" s="33" t="n">
        <v>0</v>
      </c>
      <c r="P221" t="inlineStr">
        <is>
          <t>Buchanan Government Hospital</t>
        </is>
      </c>
      <c r="Q221" t="inlineStr">
        <is>
          <t>M. Toe</t>
        </is>
      </c>
    </row>
    <row r="222">
      <c r="A222" t="inlineStr">
        <is>
          <t>AQ-2026-00219</t>
        </is>
      </c>
      <c r="B222" s="32" t="n">
        <v>46128</v>
      </c>
      <c r="C222" s="33">
        <f>MONTH(B222)</f>
        <v>4</v>
      </c>
      <c r="D222" t="inlineStr">
        <is>
          <t>Montserrado</t>
        </is>
      </c>
      <c r="E222" t="inlineStr">
        <is>
          <t>Gardnersville - Dumpsite Perimeter</t>
        </is>
      </c>
      <c r="F222" t="inlineStr">
        <is>
          <t>Dumpsite Perimeter</t>
        </is>
      </c>
      <c r="G222" t="inlineStr">
        <is>
          <t>Air</t>
        </is>
      </c>
      <c r="H222" t="inlineStr">
        <is>
          <t>Sulphur Dioxide (SO2)</t>
        </is>
      </c>
      <c r="I222" t="n">
        <v>35</v>
      </c>
      <c r="J222" t="inlineStr">
        <is>
          <t>ug/m3</t>
        </is>
      </c>
      <c r="K222" t="n">
        <v>0</v>
      </c>
      <c r="L222" t="n">
        <v>125</v>
      </c>
      <c r="M222" t="str">
        <f>IF(AND(I222&gt;=K222,I222&lt;=L222),"Yes","No")</f>
        <v>Yes</v>
      </c>
      <c r="N222" s="34">
        <f>IF(L222=0,"",I222/L222)</f>
        <v>0.28</v>
      </c>
      <c r="O222" s="33" t="n">
        <v>800</v>
      </c>
      <c r="P222" t="inlineStr">
        <is>
          <t>St. Joseph's Catholic Hospital</t>
        </is>
      </c>
      <c r="Q222" t="inlineStr">
        <is>
          <t>A. Kollie</t>
        </is>
      </c>
    </row>
    <row r="223">
      <c r="A223" t="inlineStr">
        <is>
          <t>SL-2026-00220</t>
        </is>
      </c>
      <c r="B223" s="32" t="n">
        <v>46116</v>
      </c>
      <c r="C223" s="33">
        <f>MONTH(B223)</f>
        <v>4</v>
      </c>
      <c r="D223" t="inlineStr">
        <is>
          <t>Margibi</t>
        </is>
      </c>
      <c r="E223" t="inlineStr">
        <is>
          <t>Firestone - Dumpsite Perimeter</t>
        </is>
      </c>
      <c r="F223" t="inlineStr">
        <is>
          <t>Dumpsite Perimeter</t>
        </is>
      </c>
      <c r="G223" t="inlineStr">
        <is>
          <t>Soil</t>
        </is>
      </c>
      <c r="H223" t="inlineStr">
        <is>
          <t>Mercury</t>
        </is>
      </c>
      <c r="I223" t="n">
        <v>0.6</v>
      </c>
      <c r="J223" t="inlineStr">
        <is>
          <t>mg/kg</t>
        </is>
      </c>
      <c r="K223" t="n">
        <v>0</v>
      </c>
      <c r="L223" t="n">
        <v>1</v>
      </c>
      <c r="M223" t="str">
        <f>IF(AND(I223&gt;=K223,I223&lt;=L223),"Yes","No")</f>
        <v>Yes</v>
      </c>
      <c r="N223" s="34">
        <f>IF(L223=0,"",I223/L223)</f>
        <v>0.6</v>
      </c>
      <c r="O223" s="33" t="n">
        <v>3500</v>
      </c>
      <c r="P223" t="inlineStr">
        <is>
          <t>Harbel Health Center</t>
        </is>
      </c>
      <c r="Q223" t="inlineStr">
        <is>
          <t>J. Nyeman</t>
        </is>
      </c>
    </row>
    <row r="224">
      <c r="A224" t="inlineStr">
        <is>
          <t>AQ-2026-00221</t>
        </is>
      </c>
      <c r="B224" s="32" t="n">
        <v>46120</v>
      </c>
      <c r="C224" s="33">
        <f>MONTH(B224)</f>
        <v>4</v>
      </c>
      <c r="D224" t="inlineStr">
        <is>
          <t>Nimba</t>
        </is>
      </c>
      <c r="E224" t="inlineStr">
        <is>
          <t>Saclepea - Dumpsite Perimeter</t>
        </is>
      </c>
      <c r="F224" t="inlineStr">
        <is>
          <t>Dumpsite Perimeter</t>
        </is>
      </c>
      <c r="G224" t="inlineStr">
        <is>
          <t>Air</t>
        </is>
      </c>
      <c r="H224" t="inlineStr">
        <is>
          <t>PM2.5</t>
        </is>
      </c>
      <c r="I224" t="n">
        <v>35.2</v>
      </c>
      <c r="J224" t="inlineStr">
        <is>
          <t>ug/m3</t>
        </is>
      </c>
      <c r="K224" t="n">
        <v>0</v>
      </c>
      <c r="L224" t="n">
        <v>25</v>
      </c>
      <c r="M224" t="str">
        <f>IF(AND(I224&gt;=K224,I224&lt;=L224),"Yes","No")</f>
        <v>No</v>
      </c>
      <c r="N224" s="34">
        <f>IF(L224=0,"",I224/L224)</f>
        <v>1.408</v>
      </c>
      <c r="O224" s="33" t="n">
        <v>800</v>
      </c>
      <c r="P224" t="inlineStr">
        <is>
          <t>Ganta United Methodist Hospital</t>
        </is>
      </c>
      <c r="Q224" t="inlineStr">
        <is>
          <t>A. Kollie</t>
        </is>
      </c>
    </row>
    <row r="225">
      <c r="A225" t="inlineStr">
        <is>
          <t>AQ-2026-00222</t>
        </is>
      </c>
      <c r="B225" s="32" t="n">
        <v>46134</v>
      </c>
      <c r="C225" s="33">
        <f>MONTH(B225)</f>
        <v>4</v>
      </c>
      <c r="D225" t="inlineStr">
        <is>
          <t>Grand Bassa</t>
        </is>
      </c>
      <c r="E225" t="inlineStr">
        <is>
          <t>Edina - Market Area</t>
        </is>
      </c>
      <c r="F225" t="inlineStr">
        <is>
          <t>Market Area</t>
        </is>
      </c>
      <c r="G225" t="inlineStr">
        <is>
          <t>Air</t>
        </is>
      </c>
      <c r="H225" t="inlineStr">
        <is>
          <t>Sulphur Dioxide (SO2)</t>
        </is>
      </c>
      <c r="I225" t="n">
        <v>99</v>
      </c>
      <c r="J225" t="inlineStr">
        <is>
          <t>ug/m3</t>
        </is>
      </c>
      <c r="K225" t="n">
        <v>0</v>
      </c>
      <c r="L225" t="n">
        <v>125</v>
      </c>
      <c r="M225" t="str">
        <f>IF(AND(I225&gt;=K225,I225&lt;=L225),"Yes","No")</f>
        <v>Yes</v>
      </c>
      <c r="N225" s="34">
        <f>IF(L225=0,"",I225/L225)</f>
        <v>0.792</v>
      </c>
      <c r="O225" s="33" t="n">
        <v>1500</v>
      </c>
      <c r="P225" t="inlineStr">
        <is>
          <t>Edina Health Center</t>
        </is>
      </c>
      <c r="Q225" t="inlineStr">
        <is>
          <t>E. Sebo</t>
        </is>
      </c>
    </row>
    <row r="226">
      <c r="A226" t="inlineStr">
        <is>
          <t>AQ-2026-00223</t>
        </is>
      </c>
      <c r="B226" s="32" t="n">
        <v>46124</v>
      </c>
      <c r="C226" s="33">
        <f>MONTH(B226)</f>
        <v>4</v>
      </c>
      <c r="D226" t="inlineStr">
        <is>
          <t>Nimba</t>
        </is>
      </c>
      <c r="E226" t="inlineStr">
        <is>
          <t>Butuo - Residential Area</t>
        </is>
      </c>
      <c r="F226" t="inlineStr">
        <is>
          <t>Residential Area</t>
        </is>
      </c>
      <c r="G226" t="inlineStr">
        <is>
          <t>Air</t>
        </is>
      </c>
      <c r="H226" t="inlineStr">
        <is>
          <t>PM2.5</t>
        </is>
      </c>
      <c r="I226" t="n">
        <v>65.5</v>
      </c>
      <c r="J226" t="inlineStr">
        <is>
          <t>ug/m3</t>
        </is>
      </c>
      <c r="K226" t="n">
        <v>0</v>
      </c>
      <c r="L226" t="n">
        <v>25</v>
      </c>
      <c r="M226" t="str">
        <f>IF(AND(I226&gt;=K226,I226&lt;=L226),"Yes","No")</f>
        <v>No</v>
      </c>
      <c r="N226" s="34">
        <f>IF(L226=0,"",I226/L226)</f>
        <v>2.62</v>
      </c>
      <c r="O226" s="33" t="n">
        <v>6000</v>
      </c>
      <c r="P226" t="inlineStr">
        <is>
          <t>Tappita Referral Hospital</t>
        </is>
      </c>
      <c r="Q226" t="inlineStr">
        <is>
          <t>J. Nyeman</t>
        </is>
      </c>
    </row>
    <row r="227">
      <c r="A227" t="inlineStr">
        <is>
          <t>WQ-2026-00224</t>
        </is>
      </c>
      <c r="B227" s="32" t="n">
        <v>46127</v>
      </c>
      <c r="C227" s="33">
        <f>MONTH(B227)</f>
        <v>4</v>
      </c>
      <c r="D227" t="inlineStr">
        <is>
          <t>Montserrado</t>
        </is>
      </c>
      <c r="E227" t="inlineStr">
        <is>
          <t>West Point - Public Tap Stand</t>
        </is>
      </c>
      <c r="F227" t="inlineStr">
        <is>
          <t>Public Tap Stand</t>
        </is>
      </c>
      <c r="G227" t="inlineStr">
        <is>
          <t>Water</t>
        </is>
      </c>
      <c r="H227" t="inlineStr">
        <is>
          <t>Iron</t>
        </is>
      </c>
      <c r="I227" t="n">
        <v>0.24</v>
      </c>
      <c r="J227" t="inlineStr">
        <is>
          <t>mg/L</t>
        </is>
      </c>
      <c r="K227" t="n">
        <v>0</v>
      </c>
      <c r="L227" t="n">
        <v>0.3</v>
      </c>
      <c r="M227" t="str">
        <f>IF(AND(I227&gt;=K227,I227&lt;=L227),"Yes","No")</f>
        <v>Yes</v>
      </c>
      <c r="N227" s="34">
        <f>IF(L227=0,"",I227/L227)</f>
        <v>0.8</v>
      </c>
      <c r="O227" s="33" t="n">
        <v>500</v>
      </c>
      <c r="P227" t="inlineStr">
        <is>
          <t>Redemption Hospital</t>
        </is>
      </c>
      <c r="Q227" t="inlineStr">
        <is>
          <t>E. Sebo</t>
        </is>
      </c>
    </row>
    <row r="228">
      <c r="A228" t="inlineStr">
        <is>
          <t>WQ-2026-00225</t>
        </is>
      </c>
      <c r="B228" s="32" t="n">
        <v>46127</v>
      </c>
      <c r="C228" s="33">
        <f>MONTH(B228)</f>
        <v>4</v>
      </c>
      <c r="D228" t="inlineStr">
        <is>
          <t>Montserrado</t>
        </is>
      </c>
      <c r="E228" t="inlineStr">
        <is>
          <t>New Kru Town - Hand-Dug Well</t>
        </is>
      </c>
      <c r="F228" t="inlineStr">
        <is>
          <t>Hand-Dug Well</t>
        </is>
      </c>
      <c r="G228" t="inlineStr">
        <is>
          <t>Water</t>
        </is>
      </c>
      <c r="H228" t="inlineStr">
        <is>
          <t>Lead</t>
        </is>
      </c>
      <c r="I228" t="n">
        <v>0.0037</v>
      </c>
      <c r="J228" t="inlineStr">
        <is>
          <t>mg/L</t>
        </is>
      </c>
      <c r="K228" t="n">
        <v>0</v>
      </c>
      <c r="L228" t="n">
        <v>0.01</v>
      </c>
      <c r="M228" t="str">
        <f>IF(AND(I228&gt;=K228,I228&lt;=L228),"Yes","No")</f>
        <v>Yes</v>
      </c>
      <c r="N228" s="34">
        <f>IF(L228=0,"",I228/L228)</f>
        <v>0.37</v>
      </c>
      <c r="O228" s="33" t="n">
        <v>750</v>
      </c>
      <c r="P228" t="inlineStr">
        <is>
          <t>St. Joseph's Catholic Hospital</t>
        </is>
      </c>
      <c r="Q228" t="inlineStr">
        <is>
          <t>T. Mulbah</t>
        </is>
      </c>
    </row>
    <row r="229">
      <c r="A229" t="inlineStr">
        <is>
          <t>RD-2026-00226</t>
        </is>
      </c>
      <c r="B229" s="32" t="n">
        <v>46113</v>
      </c>
      <c r="C229" s="33">
        <f>MONTH(B229)</f>
        <v>4</v>
      </c>
      <c r="D229" t="inlineStr">
        <is>
          <t>Nimba</t>
        </is>
      </c>
      <c r="E229" t="inlineStr">
        <is>
          <t>Yekepa - Medical Facility</t>
        </is>
      </c>
      <c r="F229" t="inlineStr">
        <is>
          <t>Medical Facility</t>
        </is>
      </c>
      <c r="G229" t="inlineStr">
        <is>
          <t>Ambient Radiation</t>
        </is>
      </c>
      <c r="H229" t="inlineStr">
        <is>
          <t>Gamma Dose Rate</t>
        </is>
      </c>
      <c r="I229" t="n">
        <v>0.1</v>
      </c>
      <c r="J229" t="inlineStr">
        <is>
          <t>uSv/h</t>
        </is>
      </c>
      <c r="K229" t="n">
        <v>0</v>
      </c>
      <c r="L229" t="n">
        <v>0.3</v>
      </c>
      <c r="M229" t="str">
        <f>IF(AND(I229&gt;=K229,I229&lt;=L229),"Yes","No")</f>
        <v>Yes</v>
      </c>
      <c r="N229" s="34">
        <f>IF(L229=0,"",I229/L229)</f>
        <v>0.3333333333</v>
      </c>
      <c r="O229" s="33" t="n">
        <v>0</v>
      </c>
      <c r="P229" t="inlineStr">
        <is>
          <t>Ganta United Methodist Hospital</t>
        </is>
      </c>
      <c r="Q229" t="inlineStr">
        <is>
          <t>P. Wleh</t>
        </is>
      </c>
    </row>
    <row r="230">
      <c r="A230" t="inlineStr">
        <is>
          <t>WQ-2026-00227</t>
        </is>
      </c>
      <c r="B230" s="32" t="n">
        <v>46142</v>
      </c>
      <c r="C230" s="33">
        <f>MONTH(B230)</f>
        <v>4</v>
      </c>
      <c r="D230" t="inlineStr">
        <is>
          <t>Lofa</t>
        </is>
      </c>
      <c r="E230" t="inlineStr">
        <is>
          <t>Kolahun - School Water Point</t>
        </is>
      </c>
      <c r="F230" t="inlineStr">
        <is>
          <t>School Water Point</t>
        </is>
      </c>
      <c r="G230" t="inlineStr">
        <is>
          <t>Water</t>
        </is>
      </c>
      <c r="H230" t="inlineStr">
        <is>
          <t>Iron</t>
        </is>
      </c>
      <c r="I230" t="n">
        <v>0.08</v>
      </c>
      <c r="J230" t="inlineStr">
        <is>
          <t>mg/L</t>
        </is>
      </c>
      <c r="K230" t="n">
        <v>0</v>
      </c>
      <c r="L230" t="n">
        <v>0.3</v>
      </c>
      <c r="M230" t="str">
        <f>IF(AND(I230&gt;=K230,I230&lt;=L230),"Yes","No")</f>
        <v>Yes</v>
      </c>
      <c r="N230" s="34">
        <f>IF(L230=0,"",I230/L230)</f>
        <v>0.2666666667</v>
      </c>
      <c r="O230" s="33" t="n">
        <v>240</v>
      </c>
      <c r="P230" t="inlineStr">
        <is>
          <t>Foya Health Center</t>
        </is>
      </c>
      <c r="Q230" t="inlineStr">
        <is>
          <t>M. Toe</t>
        </is>
      </c>
    </row>
    <row r="231">
      <c r="A231" t="inlineStr">
        <is>
          <t>AQ-2026-00228</t>
        </is>
      </c>
      <c r="B231" s="32" t="n">
        <v>46134</v>
      </c>
      <c r="C231" s="33">
        <f>MONTH(B231)</f>
        <v>4</v>
      </c>
      <c r="D231" t="inlineStr">
        <is>
          <t>Montserrado</t>
        </is>
      </c>
      <c r="E231" t="inlineStr">
        <is>
          <t>Brewerville - Market Area</t>
        </is>
      </c>
      <c r="F231" t="inlineStr">
        <is>
          <t>Market Area</t>
        </is>
      </c>
      <c r="G231" t="inlineStr">
        <is>
          <t>Air</t>
        </is>
      </c>
      <c r="H231" t="inlineStr">
        <is>
          <t>Nitrogen Dioxide (NO2)</t>
        </is>
      </c>
      <c r="I231" t="n">
        <v>26.1</v>
      </c>
      <c r="J231" t="inlineStr">
        <is>
          <t>ug/m3</t>
        </is>
      </c>
      <c r="K231" t="n">
        <v>0</v>
      </c>
      <c r="L231" t="n">
        <v>40</v>
      </c>
      <c r="M231" t="str">
        <f>IF(AND(I231&gt;=K231,I231&lt;=L231),"Yes","No")</f>
        <v>Yes</v>
      </c>
      <c r="N231" s="34">
        <f>IF(L231=0,"",I231/L231)</f>
        <v>0.6525</v>
      </c>
      <c r="O231" s="33" t="n">
        <v>0</v>
      </c>
      <c r="P231" t="inlineStr">
        <is>
          <t>JFK Memorial Hospital</t>
        </is>
      </c>
      <c r="Q231" t="inlineStr">
        <is>
          <t>T. Mulbah</t>
        </is>
      </c>
    </row>
    <row r="232">
      <c r="A232" t="inlineStr">
        <is>
          <t>WQ-2026-00229</t>
        </is>
      </c>
      <c r="B232" s="32" t="n">
        <v>46142</v>
      </c>
      <c r="C232" s="33">
        <f>MONTH(B232)</f>
        <v>4</v>
      </c>
      <c r="D232" t="inlineStr">
        <is>
          <t>Montserrado</t>
        </is>
      </c>
      <c r="E232" t="inlineStr">
        <is>
          <t>Paynesville - Health Facility Supply</t>
        </is>
      </c>
      <c r="F232" t="inlineStr">
        <is>
          <t>Health Facility Supply</t>
        </is>
      </c>
      <c r="G232" t="inlineStr">
        <is>
          <t>Water</t>
        </is>
      </c>
      <c r="H232" t="inlineStr">
        <is>
          <t>Turbidity</t>
        </is>
      </c>
      <c r="I232" t="n">
        <v>0.7</v>
      </c>
      <c r="J232" t="inlineStr">
        <is>
          <t>NTU</t>
        </is>
      </c>
      <c r="K232" t="n">
        <v>0</v>
      </c>
      <c r="L232" t="n">
        <v>5</v>
      </c>
      <c r="M232" t="str">
        <f>IF(AND(I232&gt;=K232,I232&lt;=L232),"Yes","No")</f>
        <v>Yes</v>
      </c>
      <c r="N232" s="34">
        <f>IF(L232=0,"",I232/L232)</f>
        <v>0.14</v>
      </c>
      <c r="O232" s="33" t="n">
        <v>240</v>
      </c>
      <c r="P232" t="inlineStr">
        <is>
          <t>Benson Hospital</t>
        </is>
      </c>
      <c r="Q232" t="inlineStr">
        <is>
          <t>H. Zolia</t>
        </is>
      </c>
    </row>
    <row r="233">
      <c r="A233" t="inlineStr">
        <is>
          <t>RD-2026-00230</t>
        </is>
      </c>
      <c r="B233" s="32" t="n">
        <v>46133</v>
      </c>
      <c r="C233" s="33">
        <f>MONTH(B233)</f>
        <v>4</v>
      </c>
      <c r="D233" t="inlineStr">
        <is>
          <t>Grand Bassa</t>
        </is>
      </c>
      <c r="E233" t="inlineStr">
        <is>
          <t>Owensgrove - Dumpsite Perimeter</t>
        </is>
      </c>
      <c r="F233" t="inlineStr">
        <is>
          <t>Dumpsite Perimeter</t>
        </is>
      </c>
      <c r="G233" t="inlineStr">
        <is>
          <t>Ambient Radiation</t>
        </is>
      </c>
      <c r="H233" t="inlineStr">
        <is>
          <t>Gamma Dose Rate</t>
        </is>
      </c>
      <c r="I233" t="n">
        <v>0.01</v>
      </c>
      <c r="J233" t="inlineStr">
        <is>
          <t>uSv/h</t>
        </is>
      </c>
      <c r="K233" t="n">
        <v>0</v>
      </c>
      <c r="L233" t="n">
        <v>0.3</v>
      </c>
      <c r="M233" t="str">
        <f>IF(AND(I233&gt;=K233,I233&lt;=L233),"Yes","No")</f>
        <v>Yes</v>
      </c>
      <c r="N233" s="34">
        <f>IF(L233=0,"",I233/L233)</f>
        <v>0.0333333333</v>
      </c>
      <c r="O233" s="33" t="n">
        <v>0</v>
      </c>
      <c r="P233" t="inlineStr">
        <is>
          <t>Edina Health Center</t>
        </is>
      </c>
      <c r="Q233" t="inlineStr">
        <is>
          <t>J. Nyeman</t>
        </is>
      </c>
    </row>
    <row r="234">
      <c r="A234" t="inlineStr">
        <is>
          <t>WQ-2026-00231</t>
        </is>
      </c>
      <c r="B234" s="32" t="n">
        <v>46113</v>
      </c>
      <c r="C234" s="33">
        <f>MONTH(B234)</f>
        <v>4</v>
      </c>
      <c r="D234" t="inlineStr">
        <is>
          <t>Nimba</t>
        </is>
      </c>
      <c r="E234" t="inlineStr">
        <is>
          <t>Saclepea - School Water Point</t>
        </is>
      </c>
      <c r="F234" t="inlineStr">
        <is>
          <t>School Water Point</t>
        </is>
      </c>
      <c r="G234" t="inlineStr">
        <is>
          <t>Water</t>
        </is>
      </c>
      <c r="H234" t="inlineStr">
        <is>
          <t>Total Coliform</t>
        </is>
      </c>
      <c r="I234" t="n">
        <v>0</v>
      </c>
      <c r="J234" t="inlineStr">
        <is>
          <t>CFU/100 mL</t>
        </is>
      </c>
      <c r="K234" t="n">
        <v>0</v>
      </c>
      <c r="L234" t="n">
        <v>0</v>
      </c>
      <c r="M234" t="str">
        <f>IF(AND(I234&gt;=K234,I234&lt;=L234),"Yes","No")</f>
        <v>Yes</v>
      </c>
      <c r="N234" s="34">
        <f>IF(L234=0,"",I234/L234)</f>
        <v/>
      </c>
      <c r="O234" s="33" t="n">
        <v>500</v>
      </c>
      <c r="P234" t="inlineStr">
        <is>
          <t>Ganta United Methodist Hospital</t>
        </is>
      </c>
      <c r="Q234" t="inlineStr">
        <is>
          <t>F. Gbato</t>
        </is>
      </c>
    </row>
    <row r="235">
      <c r="A235" t="inlineStr">
        <is>
          <t>WQ-2026-00232</t>
        </is>
      </c>
      <c r="B235" s="32" t="n">
        <v>46133</v>
      </c>
      <c r="C235" s="33">
        <f>MONTH(B235)</f>
        <v>4</v>
      </c>
      <c r="D235" t="inlineStr">
        <is>
          <t>Margibi</t>
        </is>
      </c>
      <c r="E235" t="inlineStr">
        <is>
          <t>Dolo Town - River / Stream Intake</t>
        </is>
      </c>
      <c r="F235" t="inlineStr">
        <is>
          <t>River / Stream Intake</t>
        </is>
      </c>
      <c r="G235" t="inlineStr">
        <is>
          <t>Water</t>
        </is>
      </c>
      <c r="H235" t="inlineStr">
        <is>
          <t>Iron</t>
        </is>
      </c>
      <c r="I235" t="n">
        <v>0.06</v>
      </c>
      <c r="J235" t="inlineStr">
        <is>
          <t>mg/L</t>
        </is>
      </c>
      <c r="K235" t="n">
        <v>0</v>
      </c>
      <c r="L235" t="n">
        <v>0.3</v>
      </c>
      <c r="M235" t="str">
        <f>IF(AND(I235&gt;=K235,I235&lt;=L235),"Yes","No")</f>
        <v>Yes</v>
      </c>
      <c r="N235" s="34">
        <f>IF(L235=0,"",I235/L235)</f>
        <v>0.2</v>
      </c>
      <c r="O235" s="33" t="n">
        <v>350</v>
      </c>
      <c r="P235" t="inlineStr">
        <is>
          <t>Harbel Health Center</t>
        </is>
      </c>
      <c r="Q235" t="inlineStr">
        <is>
          <t>B. Kpadeh</t>
        </is>
      </c>
    </row>
    <row r="236">
      <c r="A236" t="inlineStr">
        <is>
          <t>AQ-2026-00233</t>
        </is>
      </c>
      <c r="B236" s="32" t="n">
        <v>46123</v>
      </c>
      <c r="C236" s="33">
        <f>MONTH(B236)</f>
        <v>4</v>
      </c>
      <c r="D236" t="inlineStr">
        <is>
          <t>Grand Bassa</t>
        </is>
      </c>
      <c r="E236" t="inlineStr">
        <is>
          <t>Owensgrove - Industrial Perimeter</t>
        </is>
      </c>
      <c r="F236" t="inlineStr">
        <is>
          <t>Industrial Perimeter</t>
        </is>
      </c>
      <c r="G236" t="inlineStr">
        <is>
          <t>Air</t>
        </is>
      </c>
      <c r="H236" t="inlineStr">
        <is>
          <t>Nitrogen Dioxide (NO2)</t>
        </is>
      </c>
      <c r="I236" t="n">
        <v>27.2</v>
      </c>
      <c r="J236" t="inlineStr">
        <is>
          <t>ug/m3</t>
        </is>
      </c>
      <c r="K236" t="n">
        <v>0</v>
      </c>
      <c r="L236" t="n">
        <v>40</v>
      </c>
      <c r="M236" t="str">
        <f>IF(AND(I236&gt;=K236,I236&lt;=L236),"Yes","No")</f>
        <v>Yes</v>
      </c>
      <c r="N236" s="34">
        <f>IF(L236=0,"",I236/L236)</f>
        <v>0.68</v>
      </c>
      <c r="O236" s="33" t="n">
        <v>2200</v>
      </c>
      <c r="P236" t="inlineStr">
        <is>
          <t>Edina Health Center</t>
        </is>
      </c>
      <c r="Q236" t="inlineStr">
        <is>
          <t>F. Gbato</t>
        </is>
      </c>
    </row>
    <row r="237">
      <c r="A237" t="inlineStr">
        <is>
          <t>WQ-2026-00234</t>
        </is>
      </c>
      <c r="B237" s="32" t="n">
        <v>46123</v>
      </c>
      <c r="C237" s="33">
        <f>MONTH(B237)</f>
        <v>4</v>
      </c>
      <c r="D237" t="inlineStr">
        <is>
          <t>Sinoe</t>
        </is>
      </c>
      <c r="E237" t="inlineStr">
        <is>
          <t>Juazon - River / Stream Intake</t>
        </is>
      </c>
      <c r="F237" t="inlineStr">
        <is>
          <t>River / Stream Intake</t>
        </is>
      </c>
      <c r="G237" t="inlineStr">
        <is>
          <t>Water</t>
        </is>
      </c>
      <c r="H237" t="inlineStr">
        <is>
          <t>Total Coliform</t>
        </is>
      </c>
      <c r="I237" t="n">
        <v>0</v>
      </c>
      <c r="J237" t="inlineStr">
        <is>
          <t>CFU/100 mL</t>
        </is>
      </c>
      <c r="K237" t="n">
        <v>0</v>
      </c>
      <c r="L237" t="n">
        <v>0</v>
      </c>
      <c r="M237" t="str">
        <f>IF(AND(I237&gt;=K237,I237&lt;=L237),"Yes","No")</f>
        <v>Yes</v>
      </c>
      <c r="N237" s="34">
        <f>IF(L237=0,"",I237/L237)</f>
        <v/>
      </c>
      <c r="O237" s="33" t="n">
        <v>4200</v>
      </c>
      <c r="P237" t="inlineStr">
        <is>
          <t>Greenville Health Center</t>
        </is>
      </c>
      <c r="Q237" t="inlineStr">
        <is>
          <t>B. Kpadeh</t>
        </is>
      </c>
    </row>
    <row r="238">
      <c r="A238" t="inlineStr">
        <is>
          <t>WQ-2026-00235</t>
        </is>
      </c>
      <c r="B238" s="32" t="n">
        <v>46123</v>
      </c>
      <c r="C238" s="33">
        <f>MONTH(B238)</f>
        <v>4</v>
      </c>
      <c r="D238" t="inlineStr">
        <is>
          <t>Grand Cape Mount</t>
        </is>
      </c>
      <c r="E238" t="inlineStr">
        <is>
          <t>Tieni - Community Borehole</t>
        </is>
      </c>
      <c r="F238" t="inlineStr">
        <is>
          <t>Community Borehole</t>
        </is>
      </c>
      <c r="G238" t="inlineStr">
        <is>
          <t>Water</t>
        </is>
      </c>
      <c r="H238" t="inlineStr">
        <is>
          <t>Arsenic</t>
        </is>
      </c>
      <c r="I238" t="n">
        <v>0.0076</v>
      </c>
      <c r="J238" t="inlineStr">
        <is>
          <t>mg/L</t>
        </is>
      </c>
      <c r="K238" t="n">
        <v>0</v>
      </c>
      <c r="L238" t="n">
        <v>0.01</v>
      </c>
      <c r="M238" t="str">
        <f>IF(AND(I238&gt;=K238,I238&lt;=L238),"Yes","No")</f>
        <v>Yes</v>
      </c>
      <c r="N238" s="34">
        <f>IF(L238=0,"",I238/L238)</f>
        <v>0.76</v>
      </c>
      <c r="O238" s="33" t="n">
        <v>1200</v>
      </c>
      <c r="P238" t="inlineStr">
        <is>
          <t>St. Timothy Hospital</t>
        </is>
      </c>
      <c r="Q238" t="inlineStr">
        <is>
          <t>P. Wleh</t>
        </is>
      </c>
    </row>
    <row r="239">
      <c r="A239" t="inlineStr">
        <is>
          <t>AQ-2026-00236</t>
        </is>
      </c>
      <c r="B239" s="32" t="n">
        <v>46116</v>
      </c>
      <c r="C239" s="33">
        <f>MONTH(B239)</f>
        <v>4</v>
      </c>
      <c r="D239" t="inlineStr">
        <is>
          <t>Montserrado</t>
        </is>
      </c>
      <c r="E239" t="inlineStr">
        <is>
          <t>Paynesville - Dumpsite Perimeter</t>
        </is>
      </c>
      <c r="F239" t="inlineStr">
        <is>
          <t>Dumpsite Perimeter</t>
        </is>
      </c>
      <c r="G239" t="inlineStr">
        <is>
          <t>Air</t>
        </is>
      </c>
      <c r="H239" t="inlineStr">
        <is>
          <t>PM2.5</t>
        </is>
      </c>
      <c r="I239" t="n">
        <v>2</v>
      </c>
      <c r="J239" t="inlineStr">
        <is>
          <t>ug/m3</t>
        </is>
      </c>
      <c r="K239" t="n">
        <v>0</v>
      </c>
      <c r="L239" t="n">
        <v>25</v>
      </c>
      <c r="M239" t="str">
        <f>IF(AND(I239&gt;=K239,I239&lt;=L239),"Yes","No")</f>
        <v>Yes</v>
      </c>
      <c r="N239" s="34">
        <f>IF(L239=0,"",I239/L239)</f>
        <v>0.08</v>
      </c>
      <c r="O239" s="33" t="n">
        <v>0</v>
      </c>
      <c r="P239" t="inlineStr">
        <is>
          <t>Benson Hospital</t>
        </is>
      </c>
      <c r="Q239" t="inlineStr">
        <is>
          <t>H. Zolia</t>
        </is>
      </c>
    </row>
    <row r="240">
      <c r="A240" t="inlineStr">
        <is>
          <t>RD-2026-00237</t>
        </is>
      </c>
      <c r="B240" s="32" t="n">
        <v>46137</v>
      </c>
      <c r="C240" s="33">
        <f>MONTH(B240)</f>
        <v>4</v>
      </c>
      <c r="D240" t="inlineStr">
        <is>
          <t>Bong</t>
        </is>
      </c>
      <c r="E240" t="inlineStr">
        <is>
          <t>Totota - Medical Facility</t>
        </is>
      </c>
      <c r="F240" t="inlineStr">
        <is>
          <t>Medical Facility</t>
        </is>
      </c>
      <c r="G240" t="inlineStr">
        <is>
          <t>Ambient Radiation</t>
        </is>
      </c>
      <c r="H240" t="inlineStr">
        <is>
          <t>Gamma Dose Rate</t>
        </is>
      </c>
      <c r="I240" t="n">
        <v>0.15</v>
      </c>
      <c r="J240" t="inlineStr">
        <is>
          <t>uSv/h</t>
        </is>
      </c>
      <c r="K240" t="n">
        <v>0</v>
      </c>
      <c r="L240" t="n">
        <v>0.3</v>
      </c>
      <c r="M240" t="str">
        <f>IF(AND(I240&gt;=K240,I240&lt;=L240),"Yes","No")</f>
        <v>Yes</v>
      </c>
      <c r="N240" s="34">
        <f>IF(L240=0,"",I240/L240)</f>
        <v>0.5</v>
      </c>
      <c r="O240" s="33" t="n">
        <v>0</v>
      </c>
      <c r="P240" t="inlineStr">
        <is>
          <t>Gbarnga Health Center</t>
        </is>
      </c>
      <c r="Q240" t="inlineStr">
        <is>
          <t>B. Kpadeh</t>
        </is>
      </c>
    </row>
    <row r="241">
      <c r="A241" t="inlineStr">
        <is>
          <t>SL-2026-00238</t>
        </is>
      </c>
      <c r="B241" s="32" t="n">
        <v>46116</v>
      </c>
      <c r="C241" s="33">
        <f>MONTH(B241)</f>
        <v>4</v>
      </c>
      <c r="D241" t="inlineStr">
        <is>
          <t>Grand Bassa</t>
        </is>
      </c>
      <c r="E241" t="inlineStr">
        <is>
          <t>Liberia Petroleum Refinery</t>
        </is>
      </c>
      <c r="F241" t="inlineStr">
        <is>
          <t>Industrial Perimeter</t>
        </is>
      </c>
      <c r="G241" t="inlineStr">
        <is>
          <t>Soil</t>
        </is>
      </c>
      <c r="H241" t="inlineStr">
        <is>
          <t>Cadmium</t>
        </is>
      </c>
      <c r="I241" t="n">
        <v>1.4</v>
      </c>
      <c r="J241" t="inlineStr">
        <is>
          <t>mg/kg</t>
        </is>
      </c>
      <c r="K241" t="n">
        <v>0</v>
      </c>
      <c r="L241" t="n">
        <v>3</v>
      </c>
      <c r="M241" t="str">
        <f>IF(AND(I241&gt;=K241,I241&lt;=L241),"Yes","No")</f>
        <v>Yes</v>
      </c>
      <c r="N241" s="34">
        <f>IF(L241=0,"",I241/L241)</f>
        <v>0.4666666667</v>
      </c>
      <c r="O241" s="33" t="n">
        <v>200</v>
      </c>
      <c r="P241" t="inlineStr">
        <is>
          <t>Edina Health Center</t>
        </is>
      </c>
      <c r="Q241" t="inlineStr">
        <is>
          <t>P. Wleh</t>
        </is>
      </c>
    </row>
    <row r="242">
      <c r="A242" t="inlineStr">
        <is>
          <t>WQ-2026-00239</t>
        </is>
      </c>
      <c r="B242" s="32" t="n">
        <v>46138</v>
      </c>
      <c r="C242" s="33">
        <f>MONTH(B242)</f>
        <v>4</v>
      </c>
      <c r="D242" t="inlineStr">
        <is>
          <t>Montserrado</t>
        </is>
      </c>
      <c r="E242" t="inlineStr">
        <is>
          <t>Johnsonville - River / Stream Intake</t>
        </is>
      </c>
      <c r="F242" t="inlineStr">
        <is>
          <t>River / Stream Intake</t>
        </is>
      </c>
      <c r="G242" t="inlineStr">
        <is>
          <t>Water</t>
        </is>
      </c>
      <c r="H242" t="inlineStr">
        <is>
          <t>Manganese</t>
        </is>
      </c>
      <c r="I242" t="n">
        <v>0.11</v>
      </c>
      <c r="J242" t="inlineStr">
        <is>
          <t>mg/L</t>
        </is>
      </c>
      <c r="K242" t="n">
        <v>0</v>
      </c>
      <c r="L242" t="n">
        <v>0.4</v>
      </c>
      <c r="M242" t="str">
        <f>IF(AND(I242&gt;=K242,I242&lt;=L242),"Yes","No")</f>
        <v>Yes</v>
      </c>
      <c r="N242" s="34">
        <f>IF(L242=0,"",I242/L242)</f>
        <v>0.275</v>
      </c>
      <c r="O242" s="33" t="n">
        <v>240</v>
      </c>
      <c r="P242" t="inlineStr">
        <is>
          <t>Redemption Hospital</t>
        </is>
      </c>
      <c r="Q242" t="inlineStr">
        <is>
          <t>T. Mulbah</t>
        </is>
      </c>
    </row>
    <row r="243">
      <c r="A243" t="inlineStr">
        <is>
          <t>WQ-2026-00240</t>
        </is>
      </c>
      <c r="B243" s="32" t="n">
        <v>46137</v>
      </c>
      <c r="C243" s="33">
        <f>MONTH(B243)</f>
        <v>4</v>
      </c>
      <c r="D243" t="inlineStr">
        <is>
          <t>Maryland</t>
        </is>
      </c>
      <c r="E243" t="inlineStr">
        <is>
          <t>Pleebo - Health Facility Supply</t>
        </is>
      </c>
      <c r="F243" t="inlineStr">
        <is>
          <t>Health Facility Supply</t>
        </is>
      </c>
      <c r="G243" t="inlineStr">
        <is>
          <t>Water</t>
        </is>
      </c>
      <c r="H243" t="inlineStr">
        <is>
          <t>Turbidity</t>
        </is>
      </c>
      <c r="I243" t="n">
        <v>2.2</v>
      </c>
      <c r="J243" t="inlineStr">
        <is>
          <t>NTU</t>
        </is>
      </c>
      <c r="K243" t="n">
        <v>0</v>
      </c>
      <c r="L243" t="n">
        <v>5</v>
      </c>
      <c r="M243" t="str">
        <f>IF(AND(I243&gt;=K243,I243&lt;=L243),"Yes","No")</f>
        <v>Yes</v>
      </c>
      <c r="N243" s="34">
        <f>IF(L243=0,"",I243/L243)</f>
        <v>0.44</v>
      </c>
      <c r="O243" s="33" t="n">
        <v>500</v>
      </c>
      <c r="P243" t="inlineStr">
        <is>
          <t>Pleebo Health Center</t>
        </is>
      </c>
      <c r="Q243" t="inlineStr">
        <is>
          <t>S. Dolo</t>
        </is>
      </c>
    </row>
    <row r="244">
      <c r="A244" t="inlineStr">
        <is>
          <t>SL-2026-00241</t>
        </is>
      </c>
      <c r="B244" s="32" t="n">
        <v>46122</v>
      </c>
      <c r="C244" s="33">
        <f>MONTH(B244)</f>
        <v>4</v>
      </c>
      <c r="D244" t="inlineStr">
        <is>
          <t>Grand Bassa</t>
        </is>
      </c>
      <c r="E244" t="inlineStr">
        <is>
          <t>Bea Mountain Mining</t>
        </is>
      </c>
      <c r="F244" t="inlineStr">
        <is>
          <t>Industrial Perimeter</t>
        </is>
      </c>
      <c r="G244" t="inlineStr">
        <is>
          <t>Soil</t>
        </is>
      </c>
      <c r="H244" t="inlineStr">
        <is>
          <t>Mercury</t>
        </is>
      </c>
      <c r="I244" t="n">
        <v>0.9</v>
      </c>
      <c r="J244" t="inlineStr">
        <is>
          <t>mg/kg</t>
        </is>
      </c>
      <c r="K244" t="n">
        <v>0</v>
      </c>
      <c r="L244" t="n">
        <v>1</v>
      </c>
      <c r="M244" t="str">
        <f>IF(AND(I244&gt;=K244,I244&lt;=L244),"Yes","No")</f>
        <v>Yes</v>
      </c>
      <c r="N244" s="34">
        <f>IF(L244=0,"",I244/L244)</f>
        <v>0.9</v>
      </c>
      <c r="O244" s="33" t="n">
        <v>0</v>
      </c>
      <c r="P244" t="inlineStr">
        <is>
          <t>Edina Health Center</t>
        </is>
      </c>
      <c r="Q244" t="inlineStr">
        <is>
          <t>E. Sebo</t>
        </is>
      </c>
    </row>
    <row r="245">
      <c r="A245" t="inlineStr">
        <is>
          <t>SL-2026-00242</t>
        </is>
      </c>
      <c r="B245" s="32" t="n">
        <v>46135</v>
      </c>
      <c r="C245" s="33">
        <f>MONTH(B245)</f>
        <v>4</v>
      </c>
      <c r="D245" t="inlineStr">
        <is>
          <t>Bong</t>
        </is>
      </c>
      <c r="E245" t="inlineStr">
        <is>
          <t>Nimba Western Range Iron Ore</t>
        </is>
      </c>
      <c r="F245" t="inlineStr">
        <is>
          <t>Industrial Perimeter</t>
        </is>
      </c>
      <c r="G245" t="inlineStr">
        <is>
          <t>Soil</t>
        </is>
      </c>
      <c r="H245" t="inlineStr">
        <is>
          <t>Mercury</t>
        </is>
      </c>
      <c r="I245" t="n">
        <v>3.2</v>
      </c>
      <c r="J245" t="inlineStr">
        <is>
          <t>mg/kg</t>
        </is>
      </c>
      <c r="K245" t="n">
        <v>0</v>
      </c>
      <c r="L245" t="n">
        <v>1</v>
      </c>
      <c r="M245" t="str">
        <f>IF(AND(I245&gt;=K245,I245&lt;=L245),"Yes","No")</f>
        <v>No</v>
      </c>
      <c r="N245" s="34">
        <f>IF(L245=0,"",I245/L245)</f>
        <v>3.2</v>
      </c>
      <c r="O245" s="33" t="n">
        <v>3500</v>
      </c>
      <c r="P245" t="inlineStr">
        <is>
          <t>Phebe Hospital</t>
        </is>
      </c>
      <c r="Q245" t="inlineStr">
        <is>
          <t>T. Mulbah</t>
        </is>
      </c>
    </row>
    <row r="246">
      <c r="A246" t="inlineStr">
        <is>
          <t>SL-2026-00243</t>
        </is>
      </c>
      <c r="B246" s="32" t="n">
        <v>46140</v>
      </c>
      <c r="C246" s="33">
        <f>MONTH(B246)</f>
        <v>4</v>
      </c>
      <c r="D246" t="inlineStr">
        <is>
          <t>Nimba</t>
        </is>
      </c>
      <c r="E246" t="inlineStr">
        <is>
          <t>Tappita - Farmland</t>
        </is>
      </c>
      <c r="F246" t="inlineStr">
        <is>
          <t>Farmland</t>
        </is>
      </c>
      <c r="G246" t="inlineStr">
        <is>
          <t>Soil</t>
        </is>
      </c>
      <c r="H246" t="inlineStr">
        <is>
          <t>Cadmium</t>
        </is>
      </c>
      <c r="I246" t="n">
        <v>0.7</v>
      </c>
      <c r="J246" t="inlineStr">
        <is>
          <t>mg/kg</t>
        </is>
      </c>
      <c r="K246" t="n">
        <v>0</v>
      </c>
      <c r="L246" t="n">
        <v>3</v>
      </c>
      <c r="M246" t="str">
        <f>IF(AND(I246&gt;=K246,I246&lt;=L246),"Yes","No")</f>
        <v>Yes</v>
      </c>
      <c r="N246" s="34">
        <f>IF(L246=0,"",I246/L246)</f>
        <v>0.2333333333</v>
      </c>
      <c r="O246" s="33" t="n">
        <v>2200</v>
      </c>
      <c r="P246" t="inlineStr">
        <is>
          <t>Saclepea Health Center</t>
        </is>
      </c>
      <c r="Q246" t="inlineStr">
        <is>
          <t>B. Kpadeh</t>
        </is>
      </c>
    </row>
    <row r="247">
      <c r="A247" t="inlineStr">
        <is>
          <t>AQ-2026-00244</t>
        </is>
      </c>
      <c r="B247" s="32" t="n">
        <v>46117</v>
      </c>
      <c r="C247" s="33">
        <f>MONTH(B247)</f>
        <v>4</v>
      </c>
      <c r="D247" t="inlineStr">
        <is>
          <t>Bong</t>
        </is>
      </c>
      <c r="E247" t="inlineStr">
        <is>
          <t>Palala - Industrial Perimeter</t>
        </is>
      </c>
      <c r="F247" t="inlineStr">
        <is>
          <t>Industrial Perimeter</t>
        </is>
      </c>
      <c r="G247" t="inlineStr">
        <is>
          <t>Air</t>
        </is>
      </c>
      <c r="H247" t="inlineStr">
        <is>
          <t>PM2.5</t>
        </is>
      </c>
      <c r="I247" t="n">
        <v>0.5</v>
      </c>
      <c r="J247" t="inlineStr">
        <is>
          <t>ug/m3</t>
        </is>
      </c>
      <c r="K247" t="n">
        <v>0</v>
      </c>
      <c r="L247" t="n">
        <v>25</v>
      </c>
      <c r="M247" t="str">
        <f>IF(AND(I247&gt;=K247,I247&lt;=L247),"Yes","No")</f>
        <v>Yes</v>
      </c>
      <c r="N247" s="34">
        <f>IF(L247=0,"",I247/L247)</f>
        <v>0.02</v>
      </c>
      <c r="O247" s="33" t="n">
        <v>6000</v>
      </c>
      <c r="P247" t="inlineStr">
        <is>
          <t>Suakoko Clinic</t>
        </is>
      </c>
      <c r="Q247" t="inlineStr">
        <is>
          <t>M. Toe</t>
        </is>
      </c>
    </row>
    <row r="248">
      <c r="A248" t="inlineStr">
        <is>
          <t>AQ-2026-00245</t>
        </is>
      </c>
      <c r="B248" s="32" t="n">
        <v>46113</v>
      </c>
      <c r="C248" s="33">
        <f>MONTH(B248)</f>
        <v>4</v>
      </c>
      <c r="D248" t="inlineStr">
        <is>
          <t>Grand Cape Mount</t>
        </is>
      </c>
      <c r="E248" t="inlineStr">
        <is>
          <t>Bomi Hills - Residential Area</t>
        </is>
      </c>
      <c r="F248" t="inlineStr">
        <is>
          <t>Residential Area</t>
        </is>
      </c>
      <c r="G248" t="inlineStr">
        <is>
          <t>Air</t>
        </is>
      </c>
      <c r="H248" t="inlineStr">
        <is>
          <t>PM2.5</t>
        </is>
      </c>
      <c r="I248" t="n">
        <v>59.8</v>
      </c>
      <c r="J248" t="inlineStr">
        <is>
          <t>ug/m3</t>
        </is>
      </c>
      <c r="K248" t="n">
        <v>0</v>
      </c>
      <c r="L248" t="n">
        <v>25</v>
      </c>
      <c r="M248" t="str">
        <f>IF(AND(I248&gt;=K248,I248&lt;=L248),"Yes","No")</f>
        <v>No</v>
      </c>
      <c r="N248" s="34">
        <f>IF(L248=0,"",I248/L248)</f>
        <v>2.392</v>
      </c>
      <c r="O248" s="33" t="n">
        <v>3500</v>
      </c>
      <c r="P248" t="inlineStr">
        <is>
          <t>Sinje Health Center</t>
        </is>
      </c>
      <c r="Q248" t="inlineStr">
        <is>
          <t>B. Kpadeh</t>
        </is>
      </c>
    </row>
    <row r="249">
      <c r="A249" t="inlineStr">
        <is>
          <t>AQ-2026-00246</t>
        </is>
      </c>
      <c r="B249" s="32" t="n">
        <v>46128</v>
      </c>
      <c r="C249" s="33">
        <f>MONTH(B249)</f>
        <v>4</v>
      </c>
      <c r="D249" t="inlineStr">
        <is>
          <t>Grand Gedeh</t>
        </is>
      </c>
      <c r="E249" t="inlineStr">
        <is>
          <t>Toe Town - Residential Area</t>
        </is>
      </c>
      <c r="F249" t="inlineStr">
        <is>
          <t>Residential Area</t>
        </is>
      </c>
      <c r="G249" t="inlineStr">
        <is>
          <t>Air</t>
        </is>
      </c>
      <c r="H249" t="inlineStr">
        <is>
          <t>PM2.5</t>
        </is>
      </c>
      <c r="I249" t="n">
        <v>10.1</v>
      </c>
      <c r="J249" t="inlineStr">
        <is>
          <t>ug/m3</t>
        </is>
      </c>
      <c r="K249" t="n">
        <v>0</v>
      </c>
      <c r="L249" t="n">
        <v>25</v>
      </c>
      <c r="M249" t="str">
        <f>IF(AND(I249&gt;=K249,I249&lt;=L249),"Yes","No")</f>
        <v>Yes</v>
      </c>
      <c r="N249" s="34">
        <f>IF(L249=0,"",I249/L249)</f>
        <v>0.404</v>
      </c>
      <c r="O249" s="33" t="n">
        <v>200</v>
      </c>
      <c r="P249" t="inlineStr">
        <is>
          <t>Martha Tubman Memorial Hospital</t>
        </is>
      </c>
      <c r="Q249" t="inlineStr">
        <is>
          <t>T. Mulbah</t>
        </is>
      </c>
    </row>
    <row r="250">
      <c r="A250" t="inlineStr">
        <is>
          <t>AQ-2026-00247</t>
        </is>
      </c>
      <c r="B250" s="32" t="n">
        <v>46116</v>
      </c>
      <c r="C250" s="33">
        <f>MONTH(B250)</f>
        <v>4</v>
      </c>
      <c r="D250" t="inlineStr">
        <is>
          <t>Grand Bassa</t>
        </is>
      </c>
      <c r="E250" t="inlineStr">
        <is>
          <t>Buchanan - Market Area</t>
        </is>
      </c>
      <c r="F250" t="inlineStr">
        <is>
          <t>Market Area</t>
        </is>
      </c>
      <c r="G250" t="inlineStr">
        <is>
          <t>Air</t>
        </is>
      </c>
      <c r="H250" t="inlineStr">
        <is>
          <t>Nitrogen Dioxide (NO2)</t>
        </is>
      </c>
      <c r="I250" t="n">
        <v>30.7</v>
      </c>
      <c r="J250" t="inlineStr">
        <is>
          <t>ug/m3</t>
        </is>
      </c>
      <c r="K250" t="n">
        <v>0</v>
      </c>
      <c r="L250" t="n">
        <v>40</v>
      </c>
      <c r="M250" t="str">
        <f>IF(AND(I250&gt;=K250,I250&lt;=L250),"Yes","No")</f>
        <v>Yes</v>
      </c>
      <c r="N250" s="34">
        <f>IF(L250=0,"",I250/L250)</f>
        <v>0.7675</v>
      </c>
      <c r="O250" s="33" t="n">
        <v>2200</v>
      </c>
      <c r="P250" t="inlineStr">
        <is>
          <t>Edina Health Center</t>
        </is>
      </c>
      <c r="Q250" t="inlineStr">
        <is>
          <t>M. Toe</t>
        </is>
      </c>
    </row>
    <row r="251">
      <c r="A251" t="inlineStr">
        <is>
          <t>WQ-2026-00248</t>
        </is>
      </c>
      <c r="B251" s="32" t="n">
        <v>46141</v>
      </c>
      <c r="C251" s="33">
        <f>MONTH(B251)</f>
        <v>4</v>
      </c>
      <c r="D251" t="inlineStr">
        <is>
          <t>Grand Cape Mount</t>
        </is>
      </c>
      <c r="E251" t="inlineStr">
        <is>
          <t>Tieni - Community Borehole</t>
        </is>
      </c>
      <c r="F251" t="inlineStr">
        <is>
          <t>Community Borehole</t>
        </is>
      </c>
      <c r="G251" t="inlineStr">
        <is>
          <t>Water</t>
        </is>
      </c>
      <c r="H251" t="inlineStr">
        <is>
          <t>Manganese</t>
        </is>
      </c>
      <c r="I251" t="n">
        <v>0.06</v>
      </c>
      <c r="J251" t="inlineStr">
        <is>
          <t>mg/L</t>
        </is>
      </c>
      <c r="K251" t="n">
        <v>0</v>
      </c>
      <c r="L251" t="n">
        <v>0.4</v>
      </c>
      <c r="M251" t="str">
        <f>IF(AND(I251&gt;=K251,I251&lt;=L251),"Yes","No")</f>
        <v>Yes</v>
      </c>
      <c r="N251" s="34">
        <f>IF(L251=0,"",I251/L251)</f>
        <v>0.15</v>
      </c>
      <c r="O251" s="33" t="n">
        <v>1200</v>
      </c>
      <c r="P251" t="inlineStr">
        <is>
          <t>St. Timothy Hospital</t>
        </is>
      </c>
      <c r="Q251" t="inlineStr">
        <is>
          <t>F. Gbato</t>
        </is>
      </c>
    </row>
    <row r="252">
      <c r="A252" t="inlineStr">
        <is>
          <t>SL-2026-00249</t>
        </is>
      </c>
      <c r="B252" s="32" t="n">
        <v>46138</v>
      </c>
      <c r="C252" s="33">
        <f>MONTH(B252)</f>
        <v>4</v>
      </c>
      <c r="D252" t="inlineStr">
        <is>
          <t>Nimba</t>
        </is>
      </c>
      <c r="E252" t="inlineStr">
        <is>
          <t>Saclepea - Dumpsite Perimeter</t>
        </is>
      </c>
      <c r="F252" t="inlineStr">
        <is>
          <t>Dumpsite Perimeter</t>
        </is>
      </c>
      <c r="G252" t="inlineStr">
        <is>
          <t>Soil</t>
        </is>
      </c>
      <c r="H252" t="inlineStr">
        <is>
          <t>Mercury</t>
        </is>
      </c>
      <c r="I252" t="n">
        <v>0.6</v>
      </c>
      <c r="J252" t="inlineStr">
        <is>
          <t>mg/kg</t>
        </is>
      </c>
      <c r="K252" t="n">
        <v>0</v>
      </c>
      <c r="L252" t="n">
        <v>1</v>
      </c>
      <c r="M252" t="str">
        <f>IF(AND(I252&gt;=K252,I252&lt;=L252),"Yes","No")</f>
        <v>Yes</v>
      </c>
      <c r="N252" s="34">
        <f>IF(L252=0,"",I252/L252)</f>
        <v>0.6</v>
      </c>
      <c r="O252" s="33" t="n">
        <v>3500</v>
      </c>
      <c r="P252" t="inlineStr">
        <is>
          <t>Ganta United Methodist Hospital</t>
        </is>
      </c>
      <c r="Q252" t="inlineStr">
        <is>
          <t>B. Kpadeh</t>
        </is>
      </c>
    </row>
    <row r="253">
      <c r="A253" t="inlineStr">
        <is>
          <t>WQ-2026-00250</t>
        </is>
      </c>
      <c r="B253" s="32" t="n">
        <v>46127</v>
      </c>
      <c r="C253" s="33">
        <f>MONTH(B253)</f>
        <v>4</v>
      </c>
      <c r="D253" t="inlineStr">
        <is>
          <t>Bong</t>
        </is>
      </c>
      <c r="E253" t="inlineStr">
        <is>
          <t>Totota - School Water Point</t>
        </is>
      </c>
      <c r="F253" t="inlineStr">
        <is>
          <t>School Water Point</t>
        </is>
      </c>
      <c r="G253" t="inlineStr">
        <is>
          <t>Water</t>
        </is>
      </c>
      <c r="H253" t="inlineStr">
        <is>
          <t>Arsenic</t>
        </is>
      </c>
      <c r="I253" t="n">
        <v>0.0306</v>
      </c>
      <c r="J253" t="inlineStr">
        <is>
          <t>mg/L</t>
        </is>
      </c>
      <c r="K253" t="n">
        <v>0</v>
      </c>
      <c r="L253" t="n">
        <v>0.01</v>
      </c>
      <c r="M253" t="str">
        <f>IF(AND(I253&gt;=K253,I253&lt;=L253),"Yes","No")</f>
        <v>No</v>
      </c>
      <c r="N253" s="34">
        <f>IF(L253=0,"",I253/L253)</f>
        <v>3.06</v>
      </c>
      <c r="O253" s="33" t="n">
        <v>750</v>
      </c>
      <c r="P253" t="inlineStr">
        <is>
          <t>Phebe Hospital</t>
        </is>
      </c>
      <c r="Q253" t="inlineStr">
        <is>
          <t>S. Dolo</t>
        </is>
      </c>
    </row>
    <row r="254">
      <c r="A254" t="inlineStr">
        <is>
          <t>WQ-2026-00251</t>
        </is>
      </c>
      <c r="B254" s="32" t="n">
        <v>46129</v>
      </c>
      <c r="C254" s="33">
        <f>MONTH(B254)</f>
        <v>4</v>
      </c>
      <c r="D254" t="inlineStr">
        <is>
          <t>Margibi</t>
        </is>
      </c>
      <c r="E254" t="inlineStr">
        <is>
          <t>Kakata - Health Facility Supply</t>
        </is>
      </c>
      <c r="F254" t="inlineStr">
        <is>
          <t>Health Facility Supply</t>
        </is>
      </c>
      <c r="G254" t="inlineStr">
        <is>
          <t>Water</t>
        </is>
      </c>
      <c r="H254" t="inlineStr">
        <is>
          <t>Lead</t>
        </is>
      </c>
      <c r="I254" t="n">
        <v>0.0032</v>
      </c>
      <c r="J254" t="inlineStr">
        <is>
          <t>mg/L</t>
        </is>
      </c>
      <c r="K254" t="n">
        <v>0</v>
      </c>
      <c r="L254" t="n">
        <v>0.01</v>
      </c>
      <c r="M254" t="str">
        <f>IF(AND(I254&gt;=K254,I254&lt;=L254),"Yes","No")</f>
        <v>Yes</v>
      </c>
      <c r="N254" s="34">
        <f>IF(L254=0,"",I254/L254)</f>
        <v>0.32</v>
      </c>
      <c r="O254" s="33" t="n">
        <v>900</v>
      </c>
      <c r="P254" t="inlineStr">
        <is>
          <t>C.H. Rennie Hospital</t>
        </is>
      </c>
      <c r="Q254" t="inlineStr">
        <is>
          <t>H. Zolia</t>
        </is>
      </c>
    </row>
    <row r="255">
      <c r="A255" t="inlineStr">
        <is>
          <t>WQ-2026-00252</t>
        </is>
      </c>
      <c r="B255" s="32" t="n">
        <v>46127</v>
      </c>
      <c r="C255" s="33">
        <f>MONTH(B255)</f>
        <v>4</v>
      </c>
      <c r="D255" t="inlineStr">
        <is>
          <t>Nimba</t>
        </is>
      </c>
      <c r="E255" t="inlineStr">
        <is>
          <t>Butuo - Hand-Dug Well</t>
        </is>
      </c>
      <c r="F255" t="inlineStr">
        <is>
          <t>Hand-Dug Well</t>
        </is>
      </c>
      <c r="G255" t="inlineStr">
        <is>
          <t>Water</t>
        </is>
      </c>
      <c r="H255" t="inlineStr">
        <is>
          <t>Turbidity</t>
        </is>
      </c>
      <c r="I255" t="n">
        <v>4.5</v>
      </c>
      <c r="J255" t="inlineStr">
        <is>
          <t>NTU</t>
        </is>
      </c>
      <c r="K255" t="n">
        <v>0</v>
      </c>
      <c r="L255" t="n">
        <v>5</v>
      </c>
      <c r="M255" t="str">
        <f>IF(AND(I255&gt;=K255,I255&lt;=L255),"Yes","No")</f>
        <v>Yes</v>
      </c>
      <c r="N255" s="34">
        <f>IF(L255=0,"",I255/L255)</f>
        <v>0.9</v>
      </c>
      <c r="O255" s="33" t="n">
        <v>1800</v>
      </c>
      <c r="P255" t="inlineStr">
        <is>
          <t>Tappita Referral Hospital</t>
        </is>
      </c>
      <c r="Q255" t="inlineStr">
        <is>
          <t>J. Nyeman</t>
        </is>
      </c>
    </row>
    <row r="256">
      <c r="A256" t="inlineStr">
        <is>
          <t>WQ-2026-00253</t>
        </is>
      </c>
      <c r="B256" s="32" t="n">
        <v>46115</v>
      </c>
      <c r="C256" s="33">
        <f>MONTH(B256)</f>
        <v>4</v>
      </c>
      <c r="D256" t="inlineStr">
        <is>
          <t>Nimba</t>
        </is>
      </c>
      <c r="E256" t="inlineStr">
        <is>
          <t>Tappita - Public Tap Stand</t>
        </is>
      </c>
      <c r="F256" t="inlineStr">
        <is>
          <t>Public Tap Stand</t>
        </is>
      </c>
      <c r="G256" t="inlineStr">
        <is>
          <t>Water</t>
        </is>
      </c>
      <c r="H256" t="inlineStr">
        <is>
          <t>Lead</t>
        </is>
      </c>
      <c r="I256" t="n">
        <v>0.0011</v>
      </c>
      <c r="J256" t="inlineStr">
        <is>
          <t>mg/L</t>
        </is>
      </c>
      <c r="K256" t="n">
        <v>0</v>
      </c>
      <c r="L256" t="n">
        <v>0.01</v>
      </c>
      <c r="M256" t="str">
        <f>IF(AND(I256&gt;=K256,I256&lt;=L256),"Yes","No")</f>
        <v>Yes</v>
      </c>
      <c r="N256" s="34">
        <f>IF(L256=0,"",I256/L256)</f>
        <v>0.11</v>
      </c>
      <c r="O256" s="33" t="n">
        <v>240</v>
      </c>
      <c r="P256" t="inlineStr">
        <is>
          <t>Saclepea Health Center</t>
        </is>
      </c>
      <c r="Q256" t="inlineStr">
        <is>
          <t>S. Dolo</t>
        </is>
      </c>
    </row>
    <row r="257">
      <c r="A257" t="inlineStr">
        <is>
          <t>RD-2026-00254</t>
        </is>
      </c>
      <c r="B257" s="32" t="n">
        <v>46120</v>
      </c>
      <c r="C257" s="33">
        <f>MONTH(B257)</f>
        <v>4</v>
      </c>
      <c r="D257" t="inlineStr">
        <is>
          <t>Bong</t>
        </is>
      </c>
      <c r="E257" t="inlineStr">
        <is>
          <t>Gbarnga - Dumpsite Perimeter</t>
        </is>
      </c>
      <c r="F257" t="inlineStr">
        <is>
          <t>Dumpsite Perimeter</t>
        </is>
      </c>
      <c r="G257" t="inlineStr">
        <is>
          <t>Ambient Radiation</t>
        </is>
      </c>
      <c r="H257" t="inlineStr">
        <is>
          <t>Gamma Dose Rate</t>
        </is>
      </c>
      <c r="I257" t="n">
        <v>0.23</v>
      </c>
      <c r="J257" t="inlineStr">
        <is>
          <t>uSv/h</t>
        </is>
      </c>
      <c r="K257" t="n">
        <v>0</v>
      </c>
      <c r="L257" t="n">
        <v>0.3</v>
      </c>
      <c r="M257" t="str">
        <f>IF(AND(I257&gt;=K257,I257&lt;=L257),"Yes","No")</f>
        <v>Yes</v>
      </c>
      <c r="N257" s="34">
        <f>IF(L257=0,"",I257/L257)</f>
        <v>0.7666666667</v>
      </c>
      <c r="O257" s="33" t="n">
        <v>0</v>
      </c>
      <c r="P257" t="inlineStr">
        <is>
          <t>Phebe Hospital</t>
        </is>
      </c>
      <c r="Q257" t="inlineStr">
        <is>
          <t>B. Kpadeh</t>
        </is>
      </c>
    </row>
    <row r="258">
      <c r="A258" t="inlineStr">
        <is>
          <t>WQ-2026-00255</t>
        </is>
      </c>
      <c r="B258" s="32" t="n">
        <v>46126</v>
      </c>
      <c r="C258" s="33">
        <f>MONTH(B258)</f>
        <v>4</v>
      </c>
      <c r="D258" t="inlineStr">
        <is>
          <t>Montserrado</t>
        </is>
      </c>
      <c r="E258" t="inlineStr">
        <is>
          <t>Paynesville - School Water Point</t>
        </is>
      </c>
      <c r="F258" t="inlineStr">
        <is>
          <t>School Water Point</t>
        </is>
      </c>
      <c r="G258" t="inlineStr">
        <is>
          <t>Water</t>
        </is>
      </c>
      <c r="H258" t="inlineStr">
        <is>
          <t>Total Coliform</t>
        </is>
      </c>
      <c r="I258" t="n">
        <v>0</v>
      </c>
      <c r="J258" t="inlineStr">
        <is>
          <t>CFU/100 mL</t>
        </is>
      </c>
      <c r="K258" t="n">
        <v>0</v>
      </c>
      <c r="L258" t="n">
        <v>0</v>
      </c>
      <c r="M258" t="str">
        <f>IF(AND(I258&gt;=K258,I258&lt;=L258),"Yes","No")</f>
        <v>Yes</v>
      </c>
      <c r="N258" s="34">
        <f>IF(L258=0,"",I258/L258)</f>
        <v/>
      </c>
      <c r="O258" s="33" t="n">
        <v>240</v>
      </c>
      <c r="P258" t="inlineStr">
        <is>
          <t>Benson Hospital</t>
        </is>
      </c>
      <c r="Q258" t="inlineStr">
        <is>
          <t>T. Mulbah</t>
        </is>
      </c>
    </row>
    <row r="259">
      <c r="A259" t="inlineStr">
        <is>
          <t>WQ-2026-00256</t>
        </is>
      </c>
      <c r="B259" s="32" t="n">
        <v>46123</v>
      </c>
      <c r="C259" s="33">
        <f>MONTH(B259)</f>
        <v>4</v>
      </c>
      <c r="D259" t="inlineStr">
        <is>
          <t>Nimba</t>
        </is>
      </c>
      <c r="E259" t="inlineStr">
        <is>
          <t>Yekepa - Hand-Dug Well</t>
        </is>
      </c>
      <c r="F259" t="inlineStr">
        <is>
          <t>Hand-Dug Well</t>
        </is>
      </c>
      <c r="G259" t="inlineStr">
        <is>
          <t>Water</t>
        </is>
      </c>
      <c r="H259" t="inlineStr">
        <is>
          <t>Lead</t>
        </is>
      </c>
      <c r="I259" t="n">
        <v>0.0074</v>
      </c>
      <c r="J259" t="inlineStr">
        <is>
          <t>mg/L</t>
        </is>
      </c>
      <c r="K259" t="n">
        <v>0</v>
      </c>
      <c r="L259" t="n">
        <v>0.01</v>
      </c>
      <c r="M259" t="str">
        <f>IF(AND(I259&gt;=K259,I259&lt;=L259),"Yes","No")</f>
        <v>Yes</v>
      </c>
      <c r="N259" s="34">
        <f>IF(L259=0,"",I259/L259)</f>
        <v>0.74</v>
      </c>
      <c r="O259" s="33" t="n">
        <v>240</v>
      </c>
      <c r="P259" t="inlineStr">
        <is>
          <t>Ganta United Methodist Hospital</t>
        </is>
      </c>
      <c r="Q259" t="inlineStr">
        <is>
          <t>A. Kollie</t>
        </is>
      </c>
    </row>
    <row r="260">
      <c r="A260" t="inlineStr">
        <is>
          <t>WQ-2026-00257</t>
        </is>
      </c>
      <c r="B260" s="32" t="n">
        <v>46128</v>
      </c>
      <c r="C260" s="33">
        <f>MONTH(B260)</f>
        <v>4</v>
      </c>
      <c r="D260" t="inlineStr">
        <is>
          <t>Nimba</t>
        </is>
      </c>
      <c r="E260" t="inlineStr">
        <is>
          <t>Tappita - Health Facility Supply</t>
        </is>
      </c>
      <c r="F260" t="inlineStr">
        <is>
          <t>Health Facility Supply</t>
        </is>
      </c>
      <c r="G260" t="inlineStr">
        <is>
          <t>Water</t>
        </is>
      </c>
      <c r="H260" t="inlineStr">
        <is>
          <t>Iron</t>
        </is>
      </c>
      <c r="I260" t="n">
        <v>0.41</v>
      </c>
      <c r="J260" t="inlineStr">
        <is>
          <t>mg/L</t>
        </is>
      </c>
      <c r="K260" t="n">
        <v>0</v>
      </c>
      <c r="L260" t="n">
        <v>0.3</v>
      </c>
      <c r="M260" t="str">
        <f>IF(AND(I260&gt;=K260,I260&lt;=L260),"Yes","No")</f>
        <v>No</v>
      </c>
      <c r="N260" s="34">
        <f>IF(L260=0,"",I260/L260)</f>
        <v>1.3666666667</v>
      </c>
      <c r="O260" s="33" t="n">
        <v>2500</v>
      </c>
      <c r="P260" t="inlineStr">
        <is>
          <t>Saclepea Health Center</t>
        </is>
      </c>
      <c r="Q260" t="inlineStr">
        <is>
          <t>T. Mulbah</t>
        </is>
      </c>
    </row>
    <row r="261">
      <c r="A261" t="inlineStr">
        <is>
          <t>WQ-2026-00258</t>
        </is>
      </c>
      <c r="B261" s="32" t="n">
        <v>46124</v>
      </c>
      <c r="C261" s="33">
        <f>MONTH(B261)</f>
        <v>4</v>
      </c>
      <c r="D261" t="inlineStr">
        <is>
          <t>Lofa</t>
        </is>
      </c>
      <c r="E261" t="inlineStr">
        <is>
          <t>Voinjama - School Water Point</t>
        </is>
      </c>
      <c r="F261" t="inlineStr">
        <is>
          <t>School Water Point</t>
        </is>
      </c>
      <c r="G261" t="inlineStr">
        <is>
          <t>Water</t>
        </is>
      </c>
      <c r="H261" t="inlineStr">
        <is>
          <t>Iron</t>
        </is>
      </c>
      <c r="I261" t="n">
        <v>0.22</v>
      </c>
      <c r="J261" t="inlineStr">
        <is>
          <t>mg/L</t>
        </is>
      </c>
      <c r="K261" t="n">
        <v>0</v>
      </c>
      <c r="L261" t="n">
        <v>0.3</v>
      </c>
      <c r="M261" t="str">
        <f>IF(AND(I261&gt;=K261,I261&lt;=L261),"Yes","No")</f>
        <v>Yes</v>
      </c>
      <c r="N261" s="34">
        <f>IF(L261=0,"",I261/L261)</f>
        <v>0.7333333333</v>
      </c>
      <c r="O261" s="33" t="n">
        <v>1200</v>
      </c>
      <c r="P261" t="inlineStr">
        <is>
          <t>Foya Health Center</t>
        </is>
      </c>
      <c r="Q261" t="inlineStr">
        <is>
          <t>T. Mulbah</t>
        </is>
      </c>
    </row>
    <row r="262">
      <c r="A262" t="inlineStr">
        <is>
          <t>AQ-2026-00259</t>
        </is>
      </c>
      <c r="B262" s="32" t="n">
        <v>46129</v>
      </c>
      <c r="C262" s="33">
        <f>MONTH(B262)</f>
        <v>4</v>
      </c>
      <c r="D262" t="inlineStr">
        <is>
          <t>Margibi</t>
        </is>
      </c>
      <c r="E262" t="inlineStr">
        <is>
          <t>Kakata - Urban Roadside</t>
        </is>
      </c>
      <c r="F262" t="inlineStr">
        <is>
          <t>Urban Roadside</t>
        </is>
      </c>
      <c r="G262" t="inlineStr">
        <is>
          <t>Air</t>
        </is>
      </c>
      <c r="H262" t="inlineStr">
        <is>
          <t>Sulphur Dioxide (SO2)</t>
        </is>
      </c>
      <c r="I262" t="n">
        <v>10</v>
      </c>
      <c r="J262" t="inlineStr">
        <is>
          <t>ug/m3</t>
        </is>
      </c>
      <c r="K262" t="n">
        <v>0</v>
      </c>
      <c r="L262" t="n">
        <v>125</v>
      </c>
      <c r="M262" t="str">
        <f>IF(AND(I262&gt;=K262,I262&lt;=L262),"Yes","No")</f>
        <v>Yes</v>
      </c>
      <c r="N262" s="34">
        <f>IF(L262=0,"",I262/L262)</f>
        <v>0.08</v>
      </c>
      <c r="O262" s="33" t="n">
        <v>450</v>
      </c>
      <c r="P262" t="inlineStr">
        <is>
          <t>C.H. Rennie Hospital</t>
        </is>
      </c>
      <c r="Q262" t="inlineStr">
        <is>
          <t>B. Kpadeh</t>
        </is>
      </c>
    </row>
    <row r="263">
      <c r="A263" t="inlineStr">
        <is>
          <t>SL-2026-00260</t>
        </is>
      </c>
      <c r="B263" s="32" t="n">
        <v>46139</v>
      </c>
      <c r="C263" s="33">
        <f>MONTH(B263)</f>
        <v>4</v>
      </c>
      <c r="D263" t="inlineStr">
        <is>
          <t>Nimba</t>
        </is>
      </c>
      <c r="E263" t="inlineStr">
        <is>
          <t>Maryland Oil Palm Estate</t>
        </is>
      </c>
      <c r="F263" t="inlineStr">
        <is>
          <t>Industrial Perimeter</t>
        </is>
      </c>
      <c r="G263" t="inlineStr">
        <is>
          <t>Soil</t>
        </is>
      </c>
      <c r="H263" t="inlineStr">
        <is>
          <t>Arsenic</t>
        </is>
      </c>
      <c r="I263" t="n">
        <v>16.9</v>
      </c>
      <c r="J263" t="inlineStr">
        <is>
          <t>mg/kg</t>
        </is>
      </c>
      <c r="K263" t="n">
        <v>0</v>
      </c>
      <c r="L263" t="n">
        <v>20</v>
      </c>
      <c r="M263" t="str">
        <f>IF(AND(I263&gt;=K263,I263&lt;=L263),"Yes","No")</f>
        <v>Yes</v>
      </c>
      <c r="N263" s="34">
        <f>IF(L263=0,"",I263/L263)</f>
        <v>0.845</v>
      </c>
      <c r="O263" s="33" t="n">
        <v>2200</v>
      </c>
      <c r="P263" t="inlineStr">
        <is>
          <t>Tappita Referral Hospital</t>
        </is>
      </c>
      <c r="Q263" t="inlineStr">
        <is>
          <t>S. Dolo</t>
        </is>
      </c>
    </row>
    <row r="264">
      <c r="A264" t="inlineStr">
        <is>
          <t>RD-2026-00261</t>
        </is>
      </c>
      <c r="B264" s="32" t="n">
        <v>46118</v>
      </c>
      <c r="C264" s="33">
        <f>MONTH(B264)</f>
        <v>4</v>
      </c>
      <c r="D264" t="inlineStr">
        <is>
          <t>Montserrado</t>
        </is>
      </c>
      <c r="E264" t="inlineStr">
        <is>
          <t>New Kru Town - Dumpsite Perimeter</t>
        </is>
      </c>
      <c r="F264" t="inlineStr">
        <is>
          <t>Dumpsite Perimeter</t>
        </is>
      </c>
      <c r="G264" t="inlineStr">
        <is>
          <t>Ambient Radiation</t>
        </is>
      </c>
      <c r="H264" t="inlineStr">
        <is>
          <t>Gamma Dose Rate</t>
        </is>
      </c>
      <c r="I264" t="n">
        <v>0.13</v>
      </c>
      <c r="J264" t="inlineStr">
        <is>
          <t>uSv/h</t>
        </is>
      </c>
      <c r="K264" t="n">
        <v>0</v>
      </c>
      <c r="L264" t="n">
        <v>0.3</v>
      </c>
      <c r="M264" t="str">
        <f>IF(AND(I264&gt;=K264,I264&lt;=L264),"Yes","No")</f>
        <v>Yes</v>
      </c>
      <c r="N264" s="34">
        <f>IF(L264=0,"",I264/L264)</f>
        <v>0.4333333333</v>
      </c>
      <c r="O264" s="33" t="n">
        <v>0</v>
      </c>
      <c r="P264" t="inlineStr">
        <is>
          <t>Benson Hospital</t>
        </is>
      </c>
      <c r="Q264" t="inlineStr">
        <is>
          <t>H. Zolia</t>
        </is>
      </c>
    </row>
    <row r="265">
      <c r="A265" t="inlineStr">
        <is>
          <t>WQ-2026-00262</t>
        </is>
      </c>
      <c r="B265" s="32" t="n">
        <v>46132</v>
      </c>
      <c r="C265" s="33">
        <f>MONTH(B265)</f>
        <v>4</v>
      </c>
      <c r="D265" t="inlineStr">
        <is>
          <t>Montserrado</t>
        </is>
      </c>
      <c r="E265" t="inlineStr">
        <is>
          <t>Caldwell - Community Borehole</t>
        </is>
      </c>
      <c r="F265" t="inlineStr">
        <is>
          <t>Community Borehole</t>
        </is>
      </c>
      <c r="G265" t="inlineStr">
        <is>
          <t>Water</t>
        </is>
      </c>
      <c r="H265" t="inlineStr">
        <is>
          <t>Manganese</t>
        </is>
      </c>
      <c r="I265" t="n">
        <v>1.31</v>
      </c>
      <c r="J265" t="inlineStr">
        <is>
          <t>mg/L</t>
        </is>
      </c>
      <c r="K265" t="n">
        <v>0</v>
      </c>
      <c r="L265" t="n">
        <v>0.4</v>
      </c>
      <c r="M265" t="str">
        <f>IF(AND(I265&gt;=K265,I265&lt;=L265),"Yes","No")</f>
        <v>No</v>
      </c>
      <c r="N265" s="34">
        <f>IF(L265=0,"",I265/L265)</f>
        <v>3.275</v>
      </c>
      <c r="O265" s="33" t="n">
        <v>1800</v>
      </c>
      <c r="P265" t="inlineStr">
        <is>
          <t>Redemption Hospital</t>
        </is>
      </c>
      <c r="Q265" t="inlineStr">
        <is>
          <t>H. Zolia</t>
        </is>
      </c>
    </row>
    <row r="266">
      <c r="A266" t="inlineStr">
        <is>
          <t>RD-2026-00263</t>
        </is>
      </c>
      <c r="B266" s="32" t="n">
        <v>46128</v>
      </c>
      <c r="C266" s="33">
        <f>MONTH(B266)</f>
        <v>4</v>
      </c>
      <c r="D266" t="inlineStr">
        <is>
          <t>Maryland</t>
        </is>
      </c>
      <c r="E266" t="inlineStr">
        <is>
          <t>Pleebo - Urban Background</t>
        </is>
      </c>
      <c r="F266" t="inlineStr">
        <is>
          <t>Urban Background</t>
        </is>
      </c>
      <c r="G266" t="inlineStr">
        <is>
          <t>Ambient Radiation</t>
        </is>
      </c>
      <c r="H266" t="inlineStr">
        <is>
          <t>Gamma Dose Rate</t>
        </is>
      </c>
      <c r="I266" t="n">
        <v>0.05</v>
      </c>
      <c r="J266" t="inlineStr">
        <is>
          <t>uSv/h</t>
        </is>
      </c>
      <c r="K266" t="n">
        <v>0</v>
      </c>
      <c r="L266" t="n">
        <v>0.3</v>
      </c>
      <c r="M266" t="str">
        <f>IF(AND(I266&gt;=K266,I266&lt;=L266),"Yes","No")</f>
        <v>Yes</v>
      </c>
      <c r="N266" s="34">
        <f>IF(L266=0,"",I266/L266)</f>
        <v>0.1666666667</v>
      </c>
      <c r="O266" s="33" t="n">
        <v>0</v>
      </c>
      <c r="P266" t="inlineStr">
        <is>
          <t>Pleebo Health Center</t>
        </is>
      </c>
      <c r="Q266" t="inlineStr">
        <is>
          <t>E. Sebo</t>
        </is>
      </c>
    </row>
    <row r="267">
      <c r="A267" t="inlineStr">
        <is>
          <t>WQ-2026-00264</t>
        </is>
      </c>
      <c r="B267" s="32" t="n">
        <v>46164</v>
      </c>
      <c r="C267" s="33">
        <f>MONTH(B267)</f>
        <v>5</v>
      </c>
      <c r="D267" t="inlineStr">
        <is>
          <t>Grand Bassa</t>
        </is>
      </c>
      <c r="E267" t="inlineStr">
        <is>
          <t>Edina - Hand-Dug Well</t>
        </is>
      </c>
      <c r="F267" t="inlineStr">
        <is>
          <t>Hand-Dug Well</t>
        </is>
      </c>
      <c r="G267" t="inlineStr">
        <is>
          <t>Water</t>
        </is>
      </c>
      <c r="H267" t="inlineStr">
        <is>
          <t>Lead</t>
        </is>
      </c>
      <c r="I267" t="n">
        <v>0.0071</v>
      </c>
      <c r="J267" t="inlineStr">
        <is>
          <t>mg/L</t>
        </is>
      </c>
      <c r="K267" t="n">
        <v>0</v>
      </c>
      <c r="L267" t="n">
        <v>0.01</v>
      </c>
      <c r="M267" t="str">
        <f>IF(AND(I267&gt;=K267,I267&lt;=L267),"Yes","No")</f>
        <v>Yes</v>
      </c>
      <c r="N267" s="34">
        <f>IF(L267=0,"",I267/L267)</f>
        <v>0.71</v>
      </c>
      <c r="O267" s="33" t="n">
        <v>240</v>
      </c>
      <c r="P267" t="inlineStr">
        <is>
          <t>Edina Health Center</t>
        </is>
      </c>
      <c r="Q267" t="inlineStr">
        <is>
          <t>P. Wleh</t>
        </is>
      </c>
    </row>
    <row r="268">
      <c r="A268" t="inlineStr">
        <is>
          <t>RD-2026-00265</t>
        </is>
      </c>
      <c r="B268" s="32" t="n">
        <v>46153</v>
      </c>
      <c r="C268" s="33">
        <f>MONTH(B268)</f>
        <v>5</v>
      </c>
      <c r="D268" t="inlineStr">
        <is>
          <t>Montserrado</t>
        </is>
      </c>
      <c r="E268" t="inlineStr">
        <is>
          <t>Paynesville - Urban Background</t>
        </is>
      </c>
      <c r="F268" t="inlineStr">
        <is>
          <t>Urban Background</t>
        </is>
      </c>
      <c r="G268" t="inlineStr">
        <is>
          <t>Ambient Radiation</t>
        </is>
      </c>
      <c r="H268" t="inlineStr">
        <is>
          <t>Gamma Dose Rate</t>
        </is>
      </c>
      <c r="I268" t="n">
        <v>0.05</v>
      </c>
      <c r="J268" t="inlineStr">
        <is>
          <t>uSv/h</t>
        </is>
      </c>
      <c r="K268" t="n">
        <v>0</v>
      </c>
      <c r="L268" t="n">
        <v>0.3</v>
      </c>
      <c r="M268" t="str">
        <f>IF(AND(I268&gt;=K268,I268&lt;=L268),"Yes","No")</f>
        <v>Yes</v>
      </c>
      <c r="N268" s="34">
        <f>IF(L268=0,"",I268/L268)</f>
        <v>0.1666666667</v>
      </c>
      <c r="O268" s="33" t="n">
        <v>0</v>
      </c>
      <c r="P268" t="inlineStr">
        <is>
          <t>JFK Memorial Hospital</t>
        </is>
      </c>
      <c r="Q268" t="inlineStr">
        <is>
          <t>E. Sebo</t>
        </is>
      </c>
    </row>
    <row r="269">
      <c r="A269" t="inlineStr">
        <is>
          <t>SL-2026-00266</t>
        </is>
      </c>
      <c r="B269" s="32" t="n">
        <v>46148</v>
      </c>
      <c r="C269" s="33">
        <f>MONTH(B269)</f>
        <v>5</v>
      </c>
      <c r="D269" t="inlineStr">
        <is>
          <t>Margibi</t>
        </is>
      </c>
      <c r="E269" t="inlineStr">
        <is>
          <t>Firestone - Industrial Site</t>
        </is>
      </c>
      <c r="F269" t="inlineStr">
        <is>
          <t>Industrial Site</t>
        </is>
      </c>
      <c r="G269" t="inlineStr">
        <is>
          <t>Soil</t>
        </is>
      </c>
      <c r="H269" t="inlineStr">
        <is>
          <t>Cadmium</t>
        </is>
      </c>
      <c r="I269" t="n">
        <v>2.4</v>
      </c>
      <c r="J269" t="inlineStr">
        <is>
          <t>mg/kg</t>
        </is>
      </c>
      <c r="K269" t="n">
        <v>0</v>
      </c>
      <c r="L269" t="n">
        <v>3</v>
      </c>
      <c r="M269" t="str">
        <f>IF(AND(I269&gt;=K269,I269&lt;=L269),"Yes","No")</f>
        <v>Yes</v>
      </c>
      <c r="N269" s="34">
        <f>IF(L269=0,"",I269/L269)</f>
        <v>0.8</v>
      </c>
      <c r="O269" s="33" t="n">
        <v>2200</v>
      </c>
      <c r="P269" t="inlineStr">
        <is>
          <t>C.H. Rennie Hospital</t>
        </is>
      </c>
      <c r="Q269" t="inlineStr">
        <is>
          <t>E. Sebo</t>
        </is>
      </c>
    </row>
    <row r="270">
      <c r="A270" t="inlineStr">
        <is>
          <t>RD-2026-00267</t>
        </is>
      </c>
      <c r="B270" s="32" t="n">
        <v>46173</v>
      </c>
      <c r="C270" s="33">
        <f>MONTH(B270)</f>
        <v>5</v>
      </c>
      <c r="D270" t="inlineStr">
        <is>
          <t>Sinoe</t>
        </is>
      </c>
      <c r="E270" t="inlineStr">
        <is>
          <t>Greenville - Dumpsite Perimeter</t>
        </is>
      </c>
      <c r="F270" t="inlineStr">
        <is>
          <t>Dumpsite Perimeter</t>
        </is>
      </c>
      <c r="G270" t="inlineStr">
        <is>
          <t>Ambient Radiation</t>
        </is>
      </c>
      <c r="H270" t="inlineStr">
        <is>
          <t>Gamma Dose Rate</t>
        </is>
      </c>
      <c r="I270" t="n">
        <v>0.28</v>
      </c>
      <c r="J270" t="inlineStr">
        <is>
          <t>uSv/h</t>
        </is>
      </c>
      <c r="K270" t="n">
        <v>0</v>
      </c>
      <c r="L270" t="n">
        <v>0.3</v>
      </c>
      <c r="M270" t="str">
        <f>IF(AND(I270&gt;=K270,I270&lt;=L270),"Yes","No")</f>
        <v>Yes</v>
      </c>
      <c r="N270" s="34">
        <f>IF(L270=0,"",I270/L270)</f>
        <v>0.9333333333</v>
      </c>
      <c r="O270" s="33" t="n">
        <v>0</v>
      </c>
      <c r="P270" t="inlineStr">
        <is>
          <t>F.J. Grante Hospital</t>
        </is>
      </c>
      <c r="Q270" t="inlineStr">
        <is>
          <t>E. Sebo</t>
        </is>
      </c>
    </row>
    <row r="271">
      <c r="A271" t="inlineStr">
        <is>
          <t>AQ-2026-00268</t>
        </is>
      </c>
      <c r="B271" s="32" t="n">
        <v>46166</v>
      </c>
      <c r="C271" s="33">
        <f>MONTH(B271)</f>
        <v>5</v>
      </c>
      <c r="D271" t="inlineStr">
        <is>
          <t>Nimba</t>
        </is>
      </c>
      <c r="E271" t="inlineStr">
        <is>
          <t>ArcelorMittal Buchanan</t>
        </is>
      </c>
      <c r="F271" t="inlineStr">
        <is>
          <t>Industrial Perimeter</t>
        </is>
      </c>
      <c r="G271" t="inlineStr">
        <is>
          <t>Air</t>
        </is>
      </c>
      <c r="H271" t="inlineStr">
        <is>
          <t>Sulphur Dioxide (SO2)</t>
        </is>
      </c>
      <c r="I271" t="n">
        <v>4</v>
      </c>
      <c r="J271" t="inlineStr">
        <is>
          <t>ug/m3</t>
        </is>
      </c>
      <c r="K271" t="n">
        <v>0</v>
      </c>
      <c r="L271" t="n">
        <v>125</v>
      </c>
      <c r="M271" t="str">
        <f>IF(AND(I271&gt;=K271,I271&lt;=L271),"Yes","No")</f>
        <v>Yes</v>
      </c>
      <c r="N271" s="34">
        <f>IF(L271=0,"",I271/L271)</f>
        <v>0.032</v>
      </c>
      <c r="O271" s="33" t="n">
        <v>0</v>
      </c>
      <c r="P271" t="inlineStr">
        <is>
          <t>Tappita Referral Hospital</t>
        </is>
      </c>
      <c r="Q271" t="inlineStr">
        <is>
          <t>P. Wleh</t>
        </is>
      </c>
    </row>
    <row r="272">
      <c r="A272" t="inlineStr">
        <is>
          <t>AQ-2026-00269</t>
        </is>
      </c>
      <c r="B272" s="32" t="n">
        <v>46147</v>
      </c>
      <c r="C272" s="33">
        <f>MONTH(B272)</f>
        <v>5</v>
      </c>
      <c r="D272" t="inlineStr">
        <is>
          <t>Grand Gedeh</t>
        </is>
      </c>
      <c r="E272" t="inlineStr">
        <is>
          <t>B'hai - Residential Area</t>
        </is>
      </c>
      <c r="F272" t="inlineStr">
        <is>
          <t>Residential Area</t>
        </is>
      </c>
      <c r="G272" t="inlineStr">
        <is>
          <t>Air</t>
        </is>
      </c>
      <c r="H272" t="inlineStr">
        <is>
          <t>PM2.5</t>
        </is>
      </c>
      <c r="I272" t="n">
        <v>20.8</v>
      </c>
      <c r="J272" t="inlineStr">
        <is>
          <t>ug/m3</t>
        </is>
      </c>
      <c r="K272" t="n">
        <v>0</v>
      </c>
      <c r="L272" t="n">
        <v>25</v>
      </c>
      <c r="M272" t="str">
        <f>IF(AND(I272&gt;=K272,I272&lt;=L272),"Yes","No")</f>
        <v>Yes</v>
      </c>
      <c r="N272" s="34">
        <f>IF(L272=0,"",I272/L272)</f>
        <v>0.832</v>
      </c>
      <c r="O272" s="33" t="n">
        <v>450</v>
      </c>
      <c r="P272" t="inlineStr">
        <is>
          <t>Martha Tubman Memorial Hospital</t>
        </is>
      </c>
      <c r="Q272" t="inlineStr">
        <is>
          <t>P. Wleh</t>
        </is>
      </c>
    </row>
    <row r="273">
      <c r="A273" t="inlineStr">
        <is>
          <t>WQ-2026-00270</t>
        </is>
      </c>
      <c r="B273" s="32" t="n">
        <v>46151</v>
      </c>
      <c r="C273" s="33">
        <f>MONTH(B273)</f>
        <v>5</v>
      </c>
      <c r="D273" t="inlineStr">
        <is>
          <t>Grand Bassa</t>
        </is>
      </c>
      <c r="E273" t="inlineStr">
        <is>
          <t>Edina - Health Facility Supply</t>
        </is>
      </c>
      <c r="F273" t="inlineStr">
        <is>
          <t>Health Facility Supply</t>
        </is>
      </c>
      <c r="G273" t="inlineStr">
        <is>
          <t>Water</t>
        </is>
      </c>
      <c r="H273" t="inlineStr">
        <is>
          <t>Manganese</t>
        </is>
      </c>
      <c r="I273" t="n">
        <v>1.31</v>
      </c>
      <c r="J273" t="inlineStr">
        <is>
          <t>mg/L</t>
        </is>
      </c>
      <c r="K273" t="n">
        <v>0</v>
      </c>
      <c r="L273" t="n">
        <v>0.4</v>
      </c>
      <c r="M273" t="str">
        <f>IF(AND(I273&gt;=K273,I273&lt;=L273),"Yes","No")</f>
        <v>No</v>
      </c>
      <c r="N273" s="34">
        <f>IF(L273=0,"",I273/L273)</f>
        <v>3.275</v>
      </c>
      <c r="O273" s="33" t="n">
        <v>750</v>
      </c>
      <c r="P273" t="inlineStr">
        <is>
          <t>Edina Health Center</t>
        </is>
      </c>
      <c r="Q273" t="inlineStr">
        <is>
          <t>F. Gbato</t>
        </is>
      </c>
    </row>
    <row r="274">
      <c r="A274" t="inlineStr">
        <is>
          <t>AQ-2026-00271</t>
        </is>
      </c>
      <c r="B274" s="32" t="n">
        <v>46169</v>
      </c>
      <c r="C274" s="33">
        <f>MONTH(B274)</f>
        <v>5</v>
      </c>
      <c r="D274" t="inlineStr">
        <is>
          <t>Bong</t>
        </is>
      </c>
      <c r="E274" t="inlineStr">
        <is>
          <t>Salala - Residential Area</t>
        </is>
      </c>
      <c r="F274" t="inlineStr">
        <is>
          <t>Residential Area</t>
        </is>
      </c>
      <c r="G274" t="inlineStr">
        <is>
          <t>Air</t>
        </is>
      </c>
      <c r="H274" t="inlineStr">
        <is>
          <t>Sulphur Dioxide (SO2)</t>
        </is>
      </c>
      <c r="I274" t="n">
        <v>8</v>
      </c>
      <c r="J274" t="inlineStr">
        <is>
          <t>ug/m3</t>
        </is>
      </c>
      <c r="K274" t="n">
        <v>0</v>
      </c>
      <c r="L274" t="n">
        <v>125</v>
      </c>
      <c r="M274" t="str">
        <f>IF(AND(I274&gt;=K274,I274&lt;=L274),"Yes","No")</f>
        <v>Yes</v>
      </c>
      <c r="N274" s="34">
        <f>IF(L274=0,"",I274/L274)</f>
        <v>0.064</v>
      </c>
      <c r="O274" s="33" t="n">
        <v>0</v>
      </c>
      <c r="P274" t="inlineStr">
        <is>
          <t>Phebe Hospital</t>
        </is>
      </c>
      <c r="Q274" t="inlineStr">
        <is>
          <t>P. Wleh</t>
        </is>
      </c>
    </row>
    <row r="275">
      <c r="A275" t="inlineStr">
        <is>
          <t>AQ-2026-00272</t>
        </is>
      </c>
      <c r="B275" s="32" t="n">
        <v>46148</v>
      </c>
      <c r="C275" s="33">
        <f>MONTH(B275)</f>
        <v>5</v>
      </c>
      <c r="D275" t="inlineStr">
        <is>
          <t>Montserrado</t>
        </is>
      </c>
      <c r="E275" t="inlineStr">
        <is>
          <t>Gardnersville - Market Area</t>
        </is>
      </c>
      <c r="F275" t="inlineStr">
        <is>
          <t>Market Area</t>
        </is>
      </c>
      <c r="G275" t="inlineStr">
        <is>
          <t>Air</t>
        </is>
      </c>
      <c r="H275" t="inlineStr">
        <is>
          <t>Nitrogen Dioxide (NO2)</t>
        </is>
      </c>
      <c r="I275" t="n">
        <v>17.4</v>
      </c>
      <c r="J275" t="inlineStr">
        <is>
          <t>ug/m3</t>
        </is>
      </c>
      <c r="K275" t="n">
        <v>0</v>
      </c>
      <c r="L275" t="n">
        <v>40</v>
      </c>
      <c r="M275" t="str">
        <f>IF(AND(I275&gt;=K275,I275&lt;=L275),"Yes","No")</f>
        <v>Yes</v>
      </c>
      <c r="N275" s="34">
        <f>IF(L275=0,"",I275/L275)</f>
        <v>0.435</v>
      </c>
      <c r="O275" s="33" t="n">
        <v>6000</v>
      </c>
      <c r="P275" t="inlineStr">
        <is>
          <t>JFK Memorial Hospital</t>
        </is>
      </c>
      <c r="Q275" t="inlineStr">
        <is>
          <t>E. Sebo</t>
        </is>
      </c>
    </row>
    <row r="276">
      <c r="A276" t="inlineStr">
        <is>
          <t>SL-2026-00273</t>
        </is>
      </c>
      <c r="B276" s="32" t="n">
        <v>46144</v>
      </c>
      <c r="C276" s="33">
        <f>MONTH(B276)</f>
        <v>5</v>
      </c>
      <c r="D276" t="inlineStr">
        <is>
          <t>Montserrado</t>
        </is>
      </c>
      <c r="E276" t="inlineStr">
        <is>
          <t>West Point - School Grounds</t>
        </is>
      </c>
      <c r="F276" t="inlineStr">
        <is>
          <t>School Grounds</t>
        </is>
      </c>
      <c r="G276" t="inlineStr">
        <is>
          <t>Soil</t>
        </is>
      </c>
      <c r="H276" t="inlineStr">
        <is>
          <t>Lead</t>
        </is>
      </c>
      <c r="I276" t="n">
        <v>93</v>
      </c>
      <c r="J276" t="inlineStr">
        <is>
          <t>mg/kg</t>
        </is>
      </c>
      <c r="K276" t="n">
        <v>0</v>
      </c>
      <c r="L276" t="n">
        <v>100</v>
      </c>
      <c r="M276" t="str">
        <f>IF(AND(I276&gt;=K276,I276&lt;=L276),"Yes","No")</f>
        <v>Yes</v>
      </c>
      <c r="N276" s="34">
        <f>IF(L276=0,"",I276/L276)</f>
        <v>0.93</v>
      </c>
      <c r="O276" s="33" t="n">
        <v>200</v>
      </c>
      <c r="P276" t="inlineStr">
        <is>
          <t>St. Joseph's Catholic Hospital</t>
        </is>
      </c>
      <c r="Q276" t="inlineStr">
        <is>
          <t>P. Wleh</t>
        </is>
      </c>
    </row>
    <row r="277">
      <c r="A277" t="inlineStr">
        <is>
          <t>AQ-2026-00274</t>
        </is>
      </c>
      <c r="B277" s="32" t="n">
        <v>46154</v>
      </c>
      <c r="C277" s="33">
        <f>MONTH(B277)</f>
        <v>5</v>
      </c>
      <c r="D277" t="inlineStr">
        <is>
          <t>Maryland</t>
        </is>
      </c>
      <c r="E277" t="inlineStr">
        <is>
          <t>Pleebo - Industrial Perimeter</t>
        </is>
      </c>
      <c r="F277" t="inlineStr">
        <is>
          <t>Industrial Perimeter</t>
        </is>
      </c>
      <c r="G277" t="inlineStr">
        <is>
          <t>Air</t>
        </is>
      </c>
      <c r="H277" t="inlineStr">
        <is>
          <t>Sulphur Dioxide (SO2)</t>
        </is>
      </c>
      <c r="I277" t="n">
        <v>209</v>
      </c>
      <c r="J277" t="inlineStr">
        <is>
          <t>ug/m3</t>
        </is>
      </c>
      <c r="K277" t="n">
        <v>0</v>
      </c>
      <c r="L277" t="n">
        <v>125</v>
      </c>
      <c r="M277" t="str">
        <f>IF(AND(I277&gt;=K277,I277&lt;=L277),"Yes","No")</f>
        <v>No</v>
      </c>
      <c r="N277" s="34">
        <f>IF(L277=0,"",I277/L277)</f>
        <v>1.672</v>
      </c>
      <c r="O277" s="33" t="n">
        <v>800</v>
      </c>
      <c r="P277" t="inlineStr">
        <is>
          <t>Pleebo Health Center</t>
        </is>
      </c>
      <c r="Q277" t="inlineStr">
        <is>
          <t>E. Sebo</t>
        </is>
      </c>
    </row>
    <row r="278">
      <c r="A278" t="inlineStr">
        <is>
          <t>WQ-2026-00275</t>
        </is>
      </c>
      <c r="B278" s="32" t="n">
        <v>46143</v>
      </c>
      <c r="C278" s="33">
        <f>MONTH(B278)</f>
        <v>5</v>
      </c>
      <c r="D278" t="inlineStr">
        <is>
          <t>Grand Bassa</t>
        </is>
      </c>
      <c r="E278" t="inlineStr">
        <is>
          <t>Buchanan - River / Stream Intake</t>
        </is>
      </c>
      <c r="F278" t="inlineStr">
        <is>
          <t>River / Stream Intake</t>
        </is>
      </c>
      <c r="G278" t="inlineStr">
        <is>
          <t>Water</t>
        </is>
      </c>
      <c r="H278" t="inlineStr">
        <is>
          <t>Arsenic</t>
        </is>
      </c>
      <c r="I278" t="n">
        <v>0.0009</v>
      </c>
      <c r="J278" t="inlineStr">
        <is>
          <t>mg/L</t>
        </is>
      </c>
      <c r="K278" t="n">
        <v>0</v>
      </c>
      <c r="L278" t="n">
        <v>0.01</v>
      </c>
      <c r="M278" t="str">
        <f>IF(AND(I278&gt;=K278,I278&lt;=L278),"Yes","No")</f>
        <v>Yes</v>
      </c>
      <c r="N278" s="34">
        <f>IF(L278=0,"",I278/L278)</f>
        <v>0.09</v>
      </c>
      <c r="O278" s="33" t="n">
        <v>2500</v>
      </c>
      <c r="P278" t="inlineStr">
        <is>
          <t>Edina Health Center</t>
        </is>
      </c>
      <c r="Q278" t="inlineStr">
        <is>
          <t>F. Gbato</t>
        </is>
      </c>
    </row>
    <row r="279">
      <c r="A279" t="inlineStr">
        <is>
          <t>AQ-2026-00276</t>
        </is>
      </c>
      <c r="B279" s="32" t="n">
        <v>46143</v>
      </c>
      <c r="C279" s="33">
        <f>MONTH(B279)</f>
        <v>5</v>
      </c>
      <c r="D279" t="inlineStr">
        <is>
          <t>Nimba</t>
        </is>
      </c>
      <c r="E279" t="inlineStr">
        <is>
          <t>Saclepea - Market Area</t>
        </is>
      </c>
      <c r="F279" t="inlineStr">
        <is>
          <t>Market Area</t>
        </is>
      </c>
      <c r="G279" t="inlineStr">
        <is>
          <t>Air</t>
        </is>
      </c>
      <c r="H279" t="inlineStr">
        <is>
          <t>PM2.5</t>
        </is>
      </c>
      <c r="I279" t="n">
        <v>12.4</v>
      </c>
      <c r="J279" t="inlineStr">
        <is>
          <t>ug/m3</t>
        </is>
      </c>
      <c r="K279" t="n">
        <v>0</v>
      </c>
      <c r="L279" t="n">
        <v>25</v>
      </c>
      <c r="M279" t="str">
        <f>IF(AND(I279&gt;=K279,I279&lt;=L279),"Yes","No")</f>
        <v>Yes</v>
      </c>
      <c r="N279" s="34">
        <f>IF(L279=0,"",I279/L279)</f>
        <v>0.496</v>
      </c>
      <c r="O279" s="33" t="n">
        <v>6000</v>
      </c>
      <c r="P279" t="inlineStr">
        <is>
          <t>Tappita Referral Hospital</t>
        </is>
      </c>
      <c r="Q279" t="inlineStr">
        <is>
          <t>J. Nyeman</t>
        </is>
      </c>
    </row>
    <row r="280">
      <c r="A280" t="inlineStr">
        <is>
          <t>AQ-2026-00277</t>
        </is>
      </c>
      <c r="B280" s="32" t="n">
        <v>46154</v>
      </c>
      <c r="C280" s="33">
        <f>MONTH(B280)</f>
        <v>5</v>
      </c>
      <c r="D280" t="inlineStr">
        <is>
          <t>Montserrado</t>
        </is>
      </c>
      <c r="E280" t="inlineStr">
        <is>
          <t>Sinkor - Urban Roadside</t>
        </is>
      </c>
      <c r="F280" t="inlineStr">
        <is>
          <t>Urban Roadside</t>
        </is>
      </c>
      <c r="G280" t="inlineStr">
        <is>
          <t>Air</t>
        </is>
      </c>
      <c r="H280" t="inlineStr">
        <is>
          <t>PM2.5</t>
        </is>
      </c>
      <c r="I280" t="n">
        <v>13</v>
      </c>
      <c r="J280" t="inlineStr">
        <is>
          <t>ug/m3</t>
        </is>
      </c>
      <c r="K280" t="n">
        <v>0</v>
      </c>
      <c r="L280" t="n">
        <v>25</v>
      </c>
      <c r="M280" t="str">
        <f>IF(AND(I280&gt;=K280,I280&lt;=L280),"Yes","No")</f>
        <v>Yes</v>
      </c>
      <c r="N280" s="34">
        <f>IF(L280=0,"",I280/L280)</f>
        <v>0.52</v>
      </c>
      <c r="O280" s="33" t="n">
        <v>1500</v>
      </c>
      <c r="P280" t="inlineStr">
        <is>
          <t>St. Joseph's Catholic Hospital</t>
        </is>
      </c>
      <c r="Q280" t="inlineStr">
        <is>
          <t>P. Wleh</t>
        </is>
      </c>
    </row>
    <row r="281">
      <c r="A281" t="inlineStr">
        <is>
          <t>WQ-2026-00278</t>
        </is>
      </c>
      <c r="B281" s="32" t="n">
        <v>46173</v>
      </c>
      <c r="C281" s="33">
        <f>MONTH(B281)</f>
        <v>5</v>
      </c>
      <c r="D281" t="inlineStr">
        <is>
          <t>Lofa</t>
        </is>
      </c>
      <c r="E281" t="inlineStr">
        <is>
          <t>Voinjama - River / Stream Intake</t>
        </is>
      </c>
      <c r="F281" t="inlineStr">
        <is>
          <t>River / Stream Intake</t>
        </is>
      </c>
      <c r="G281" t="inlineStr">
        <is>
          <t>Water</t>
        </is>
      </c>
      <c r="H281" t="inlineStr">
        <is>
          <t>Iron</t>
        </is>
      </c>
      <c r="I281" t="n">
        <v>0.05</v>
      </c>
      <c r="J281" t="inlineStr">
        <is>
          <t>mg/L</t>
        </is>
      </c>
      <c r="K281" t="n">
        <v>0</v>
      </c>
      <c r="L281" t="n">
        <v>0.3</v>
      </c>
      <c r="M281" t="str">
        <f>IF(AND(I281&gt;=K281,I281&lt;=L281),"Yes","No")</f>
        <v>Yes</v>
      </c>
      <c r="N281" s="34">
        <f>IF(L281=0,"",I281/L281)</f>
        <v>0.1666666667</v>
      </c>
      <c r="O281" s="33" t="n">
        <v>750</v>
      </c>
      <c r="P281" t="inlineStr">
        <is>
          <t>Curran Lutheran Hospital</t>
        </is>
      </c>
      <c r="Q281" t="inlineStr">
        <is>
          <t>P. Wleh</t>
        </is>
      </c>
    </row>
    <row r="282">
      <c r="A282" t="inlineStr">
        <is>
          <t>AQ-2026-00279</t>
        </is>
      </c>
      <c r="B282" s="32" t="n">
        <v>46161</v>
      </c>
      <c r="C282" s="33">
        <f>MONTH(B282)</f>
        <v>5</v>
      </c>
      <c r="D282" t="inlineStr">
        <is>
          <t>Montserrado</t>
        </is>
      </c>
      <c r="E282" t="inlineStr">
        <is>
          <t>Sinkor - Urban Roadside</t>
        </is>
      </c>
      <c r="F282" t="inlineStr">
        <is>
          <t>Urban Roadside</t>
        </is>
      </c>
      <c r="G282" t="inlineStr">
        <is>
          <t>Air</t>
        </is>
      </c>
      <c r="H282" t="inlineStr">
        <is>
          <t>Nitrogen Dioxide (NO2)</t>
        </is>
      </c>
      <c r="I282" t="n">
        <v>65.3</v>
      </c>
      <c r="J282" t="inlineStr">
        <is>
          <t>ug/m3</t>
        </is>
      </c>
      <c r="K282" t="n">
        <v>0</v>
      </c>
      <c r="L282" t="n">
        <v>40</v>
      </c>
      <c r="M282" t="str">
        <f>IF(AND(I282&gt;=K282,I282&lt;=L282),"Yes","No")</f>
        <v>No</v>
      </c>
      <c r="N282" s="34">
        <f>IF(L282=0,"",I282/L282)</f>
        <v>1.6325</v>
      </c>
      <c r="O282" s="33" t="n">
        <v>6000</v>
      </c>
      <c r="P282" t="inlineStr">
        <is>
          <t>St. Joseph's Catholic Hospital</t>
        </is>
      </c>
      <c r="Q282" t="inlineStr">
        <is>
          <t>A. Kollie</t>
        </is>
      </c>
    </row>
    <row r="283">
      <c r="A283" t="inlineStr">
        <is>
          <t>WQ-2026-00280</t>
        </is>
      </c>
      <c r="B283" s="32" t="n">
        <v>46151</v>
      </c>
      <c r="C283" s="33">
        <f>MONTH(B283)</f>
        <v>5</v>
      </c>
      <c r="D283" t="inlineStr">
        <is>
          <t>Montserrado</t>
        </is>
      </c>
      <c r="E283" t="inlineStr">
        <is>
          <t>Brewerville - River / Stream Intake</t>
        </is>
      </c>
      <c r="F283" t="inlineStr">
        <is>
          <t>River / Stream Intake</t>
        </is>
      </c>
      <c r="G283" t="inlineStr">
        <is>
          <t>Water</t>
        </is>
      </c>
      <c r="H283" t="inlineStr">
        <is>
          <t>E. coli</t>
        </is>
      </c>
      <c r="I283" t="n">
        <v>0</v>
      </c>
      <c r="J283" t="inlineStr">
        <is>
          <t>CFU/100 mL</t>
        </is>
      </c>
      <c r="K283" t="n">
        <v>0</v>
      </c>
      <c r="L283" t="n">
        <v>0</v>
      </c>
      <c r="M283" t="str">
        <f>IF(AND(I283&gt;=K283,I283&lt;=L283),"Yes","No")</f>
        <v>Yes</v>
      </c>
      <c r="N283" s="34">
        <f>IF(L283=0,"",I283/L283)</f>
        <v/>
      </c>
      <c r="O283" s="33" t="n">
        <v>1800</v>
      </c>
      <c r="P283" t="inlineStr">
        <is>
          <t>JFK Memorial Hospital</t>
        </is>
      </c>
      <c r="Q283" t="inlineStr">
        <is>
          <t>E. Sebo</t>
        </is>
      </c>
    </row>
    <row r="284">
      <c r="A284" t="inlineStr">
        <is>
          <t>WQ-2026-00281</t>
        </is>
      </c>
      <c r="B284" s="32" t="n">
        <v>46153</v>
      </c>
      <c r="C284" s="33">
        <f>MONTH(B284)</f>
        <v>5</v>
      </c>
      <c r="D284" t="inlineStr">
        <is>
          <t>Nimba</t>
        </is>
      </c>
      <c r="E284" t="inlineStr">
        <is>
          <t>Butuo - Health Facility Supply</t>
        </is>
      </c>
      <c r="F284" t="inlineStr">
        <is>
          <t>Health Facility Supply</t>
        </is>
      </c>
      <c r="G284" t="inlineStr">
        <is>
          <t>Water</t>
        </is>
      </c>
      <c r="H284" t="inlineStr">
        <is>
          <t>Iron</t>
        </is>
      </c>
      <c r="I284" t="n">
        <v>0.12</v>
      </c>
      <c r="J284" t="inlineStr">
        <is>
          <t>mg/L</t>
        </is>
      </c>
      <c r="K284" t="n">
        <v>0</v>
      </c>
      <c r="L284" t="n">
        <v>0.3</v>
      </c>
      <c r="M284" t="str">
        <f>IF(AND(I284&gt;=K284,I284&lt;=L284),"Yes","No")</f>
        <v>Yes</v>
      </c>
      <c r="N284" s="34">
        <f>IF(L284=0,"",I284/L284)</f>
        <v>0.4</v>
      </c>
      <c r="O284" s="33" t="n">
        <v>350</v>
      </c>
      <c r="P284" t="inlineStr">
        <is>
          <t>Saclepea Health Center</t>
        </is>
      </c>
      <c r="Q284" t="inlineStr">
        <is>
          <t>E. Sebo</t>
        </is>
      </c>
    </row>
    <row r="285">
      <c r="A285" t="inlineStr">
        <is>
          <t>WQ-2026-00282</t>
        </is>
      </c>
      <c r="B285" s="32" t="n">
        <v>46155</v>
      </c>
      <c r="C285" s="33">
        <f>MONTH(B285)</f>
        <v>5</v>
      </c>
      <c r="D285" t="inlineStr">
        <is>
          <t>Grand Bassa</t>
        </is>
      </c>
      <c r="E285" t="inlineStr">
        <is>
          <t>St. John River - Hand-Dug Well</t>
        </is>
      </c>
      <c r="F285" t="inlineStr">
        <is>
          <t>Hand-Dug Well</t>
        </is>
      </c>
      <c r="G285" t="inlineStr">
        <is>
          <t>Water</t>
        </is>
      </c>
      <c r="H285" t="inlineStr">
        <is>
          <t>Total Coliform</t>
        </is>
      </c>
      <c r="I285" t="n">
        <v>0</v>
      </c>
      <c r="J285" t="inlineStr">
        <is>
          <t>CFU/100 mL</t>
        </is>
      </c>
      <c r="K285" t="n">
        <v>0</v>
      </c>
      <c r="L285" t="n">
        <v>0</v>
      </c>
      <c r="M285" t="str">
        <f>IF(AND(I285&gt;=K285,I285&lt;=L285),"Yes","No")</f>
        <v>Yes</v>
      </c>
      <c r="N285" s="34">
        <f>IF(L285=0,"",I285/L285)</f>
        <v/>
      </c>
      <c r="O285" s="33" t="n">
        <v>240</v>
      </c>
      <c r="P285" t="inlineStr">
        <is>
          <t>Edina Health Center</t>
        </is>
      </c>
      <c r="Q285" t="inlineStr">
        <is>
          <t>B. Kpadeh</t>
        </is>
      </c>
    </row>
    <row r="286">
      <c r="A286" t="inlineStr">
        <is>
          <t>WQ-2026-00283</t>
        </is>
      </c>
      <c r="B286" s="32" t="n">
        <v>46161</v>
      </c>
      <c r="C286" s="33">
        <f>MONTH(B286)</f>
        <v>5</v>
      </c>
      <c r="D286" t="inlineStr">
        <is>
          <t>Nimba</t>
        </is>
      </c>
      <c r="E286" t="inlineStr">
        <is>
          <t>Tappita - Hand-Dug Well</t>
        </is>
      </c>
      <c r="F286" t="inlineStr">
        <is>
          <t>Hand-Dug Well</t>
        </is>
      </c>
      <c r="G286" t="inlineStr">
        <is>
          <t>Water</t>
        </is>
      </c>
      <c r="H286" t="inlineStr">
        <is>
          <t>Iron</t>
        </is>
      </c>
      <c r="I286" t="n">
        <v>0.32</v>
      </c>
      <c r="J286" t="inlineStr">
        <is>
          <t>mg/L</t>
        </is>
      </c>
      <c r="K286" t="n">
        <v>0</v>
      </c>
      <c r="L286" t="n">
        <v>0.3</v>
      </c>
      <c r="M286" t="str">
        <f>IF(AND(I286&gt;=K286,I286&lt;=L286),"Yes","No")</f>
        <v>No</v>
      </c>
      <c r="N286" s="34">
        <f>IF(L286=0,"",I286/L286)</f>
        <v>1.0666666667</v>
      </c>
      <c r="O286" s="33" t="n">
        <v>240</v>
      </c>
      <c r="P286" t="inlineStr">
        <is>
          <t>Tappita Referral Hospital</t>
        </is>
      </c>
      <c r="Q286" t="inlineStr">
        <is>
          <t>B. Kpadeh</t>
        </is>
      </c>
    </row>
    <row r="287">
      <c r="A287" t="inlineStr">
        <is>
          <t>RD-2026-00284</t>
        </is>
      </c>
      <c r="B287" s="32" t="n">
        <v>46153</v>
      </c>
      <c r="C287" s="33">
        <f>MONTH(B287)</f>
        <v>5</v>
      </c>
      <c r="D287" t="inlineStr">
        <is>
          <t>Bong</t>
        </is>
      </c>
      <c r="E287" t="inlineStr">
        <is>
          <t>Salala - Medical Facility</t>
        </is>
      </c>
      <c r="F287" t="inlineStr">
        <is>
          <t>Medical Facility</t>
        </is>
      </c>
      <c r="G287" t="inlineStr">
        <is>
          <t>Ambient Radiation</t>
        </is>
      </c>
      <c r="H287" t="inlineStr">
        <is>
          <t>Gamma Dose Rate</t>
        </is>
      </c>
      <c r="I287" t="n">
        <v>0.04</v>
      </c>
      <c r="J287" t="inlineStr">
        <is>
          <t>uSv/h</t>
        </is>
      </c>
      <c r="K287" t="n">
        <v>0</v>
      </c>
      <c r="L287" t="n">
        <v>0.3</v>
      </c>
      <c r="M287" t="str">
        <f>IF(AND(I287&gt;=K287,I287&lt;=L287),"Yes","No")</f>
        <v>Yes</v>
      </c>
      <c r="N287" s="34">
        <f>IF(L287=0,"",I287/L287)</f>
        <v>0.1333333333</v>
      </c>
      <c r="O287" s="33" t="n">
        <v>0</v>
      </c>
      <c r="P287" t="inlineStr">
        <is>
          <t>Phebe Hospital</t>
        </is>
      </c>
      <c r="Q287" t="inlineStr">
        <is>
          <t>E. Sebo</t>
        </is>
      </c>
    </row>
    <row r="288">
      <c r="A288" t="inlineStr">
        <is>
          <t>AQ-2026-00285</t>
        </is>
      </c>
      <c r="B288" s="32" t="n">
        <v>46157</v>
      </c>
      <c r="C288" s="33">
        <f>MONTH(B288)</f>
        <v>5</v>
      </c>
      <c r="D288" t="inlineStr">
        <is>
          <t>Lofa</t>
        </is>
      </c>
      <c r="E288" t="inlineStr">
        <is>
          <t>Voinjama - Residential Area</t>
        </is>
      </c>
      <c r="F288" t="inlineStr">
        <is>
          <t>Residential Area</t>
        </is>
      </c>
      <c r="G288" t="inlineStr">
        <is>
          <t>Air</t>
        </is>
      </c>
      <c r="H288" t="inlineStr">
        <is>
          <t>PM2.5</t>
        </is>
      </c>
      <c r="I288" t="n">
        <v>39.5</v>
      </c>
      <c r="J288" t="inlineStr">
        <is>
          <t>ug/m3</t>
        </is>
      </c>
      <c r="K288" t="n">
        <v>0</v>
      </c>
      <c r="L288" t="n">
        <v>25</v>
      </c>
      <c r="M288" t="str">
        <f>IF(AND(I288&gt;=K288,I288&lt;=L288),"Yes","No")</f>
        <v>No</v>
      </c>
      <c r="N288" s="34">
        <f>IF(L288=0,"",I288/L288)</f>
        <v>1.58</v>
      </c>
      <c r="O288" s="33" t="n">
        <v>0</v>
      </c>
      <c r="P288" t="inlineStr">
        <is>
          <t>Foya Health Center</t>
        </is>
      </c>
      <c r="Q288" t="inlineStr">
        <is>
          <t>P. Wleh</t>
        </is>
      </c>
    </row>
    <row r="289">
      <c r="A289" t="inlineStr">
        <is>
          <t>AQ-2026-00286</t>
        </is>
      </c>
      <c r="B289" s="32" t="n">
        <v>46161</v>
      </c>
      <c r="C289" s="33">
        <f>MONTH(B289)</f>
        <v>5</v>
      </c>
      <c r="D289" t="inlineStr">
        <is>
          <t>Montserrado</t>
        </is>
      </c>
      <c r="E289" t="inlineStr">
        <is>
          <t>Johnsonville - Residential Area</t>
        </is>
      </c>
      <c r="F289" t="inlineStr">
        <is>
          <t>Residential Area</t>
        </is>
      </c>
      <c r="G289" t="inlineStr">
        <is>
          <t>Air</t>
        </is>
      </c>
      <c r="H289" t="inlineStr">
        <is>
          <t>Nitrogen Dioxide (NO2)</t>
        </is>
      </c>
      <c r="I289" t="n">
        <v>129.8</v>
      </c>
      <c r="J289" t="inlineStr">
        <is>
          <t>ug/m3</t>
        </is>
      </c>
      <c r="K289" t="n">
        <v>0</v>
      </c>
      <c r="L289" t="n">
        <v>40</v>
      </c>
      <c r="M289" t="str">
        <f>IF(AND(I289&gt;=K289,I289&lt;=L289),"Yes","No")</f>
        <v>No</v>
      </c>
      <c r="N289" s="34">
        <f>IF(L289=0,"",I289/L289)</f>
        <v>3.245</v>
      </c>
      <c r="O289" s="33" t="n">
        <v>0</v>
      </c>
      <c r="P289" t="inlineStr">
        <is>
          <t>St. Joseph's Catholic Hospital</t>
        </is>
      </c>
      <c r="Q289" t="inlineStr">
        <is>
          <t>T. Mulbah</t>
        </is>
      </c>
    </row>
    <row r="290">
      <c r="A290" t="inlineStr">
        <is>
          <t>WQ-2026-00287</t>
        </is>
      </c>
      <c r="B290" s="32" t="n">
        <v>46166</v>
      </c>
      <c r="C290" s="33">
        <f>MONTH(B290)</f>
        <v>5</v>
      </c>
      <c r="D290" t="inlineStr">
        <is>
          <t>Bong</t>
        </is>
      </c>
      <c r="E290" t="inlineStr">
        <is>
          <t>Suakoko - Community Borehole</t>
        </is>
      </c>
      <c r="F290" t="inlineStr">
        <is>
          <t>Community Borehole</t>
        </is>
      </c>
      <c r="G290" t="inlineStr">
        <is>
          <t>Water</t>
        </is>
      </c>
      <c r="H290" t="inlineStr">
        <is>
          <t>Total Coliform</t>
        </is>
      </c>
      <c r="I290" t="n">
        <v>0</v>
      </c>
      <c r="J290" t="inlineStr">
        <is>
          <t>CFU/100 mL</t>
        </is>
      </c>
      <c r="K290" t="n">
        <v>0</v>
      </c>
      <c r="L290" t="n">
        <v>0</v>
      </c>
      <c r="M290" t="str">
        <f>IF(AND(I290&gt;=K290,I290&lt;=L290),"Yes","No")</f>
        <v>Yes</v>
      </c>
      <c r="N290" s="34">
        <f>IF(L290=0,"",I290/L290)</f>
        <v/>
      </c>
      <c r="O290" s="33" t="n">
        <v>350</v>
      </c>
      <c r="P290" t="inlineStr">
        <is>
          <t>Phebe Hospital</t>
        </is>
      </c>
      <c r="Q290" t="inlineStr">
        <is>
          <t>S. Dolo</t>
        </is>
      </c>
    </row>
    <row r="291">
      <c r="A291" t="inlineStr">
        <is>
          <t>AQ-2026-00288</t>
        </is>
      </c>
      <c r="B291" s="32" t="n">
        <v>46153</v>
      </c>
      <c r="C291" s="33">
        <f>MONTH(B291)</f>
        <v>5</v>
      </c>
      <c r="D291" t="inlineStr">
        <is>
          <t>Sinoe</t>
        </is>
      </c>
      <c r="E291" t="inlineStr">
        <is>
          <t>Juazon - Urban Roadside</t>
        </is>
      </c>
      <c r="F291" t="inlineStr">
        <is>
          <t>Urban Roadside</t>
        </is>
      </c>
      <c r="G291" t="inlineStr">
        <is>
          <t>Air</t>
        </is>
      </c>
      <c r="H291" t="inlineStr">
        <is>
          <t>Nitrogen Dioxide (NO2)</t>
        </is>
      </c>
      <c r="I291" t="n">
        <v>9.199999999999999</v>
      </c>
      <c r="J291" t="inlineStr">
        <is>
          <t>ug/m3</t>
        </is>
      </c>
      <c r="K291" t="n">
        <v>0</v>
      </c>
      <c r="L291" t="n">
        <v>40</v>
      </c>
      <c r="M291" t="str">
        <f>IF(AND(I291&gt;=K291,I291&lt;=L291),"Yes","No")</f>
        <v>Yes</v>
      </c>
      <c r="N291" s="34">
        <f>IF(L291=0,"",I291/L291)</f>
        <v>0.23</v>
      </c>
      <c r="O291" s="33" t="n">
        <v>450</v>
      </c>
      <c r="P291" t="inlineStr">
        <is>
          <t>F.J. Grante Hospital</t>
        </is>
      </c>
      <c r="Q291" t="inlineStr">
        <is>
          <t>A. Kollie</t>
        </is>
      </c>
    </row>
    <row r="292">
      <c r="A292" t="inlineStr">
        <is>
          <t>SL-2026-00289</t>
        </is>
      </c>
      <c r="B292" s="32" t="n">
        <v>46173</v>
      </c>
      <c r="C292" s="33">
        <f>MONTH(B292)</f>
        <v>5</v>
      </c>
      <c r="D292" t="inlineStr">
        <is>
          <t>Bomi</t>
        </is>
      </c>
      <c r="E292" t="inlineStr">
        <is>
          <t>Tubmanburg - Industrial Site</t>
        </is>
      </c>
      <c r="F292" t="inlineStr">
        <is>
          <t>Industrial Site</t>
        </is>
      </c>
      <c r="G292" t="inlineStr">
        <is>
          <t>Soil</t>
        </is>
      </c>
      <c r="H292" t="inlineStr">
        <is>
          <t>Mercury</t>
        </is>
      </c>
      <c r="I292" t="n">
        <v>0.7</v>
      </c>
      <c r="J292" t="inlineStr">
        <is>
          <t>mg/kg</t>
        </is>
      </c>
      <c r="K292" t="n">
        <v>0</v>
      </c>
      <c r="L292" t="n">
        <v>1</v>
      </c>
      <c r="M292" t="str">
        <f>IF(AND(I292&gt;=K292,I292&lt;=L292),"Yes","No")</f>
        <v>Yes</v>
      </c>
      <c r="N292" s="34">
        <f>IF(L292=0,"",I292/L292)</f>
        <v>0.7</v>
      </c>
      <c r="O292" s="33" t="n">
        <v>0</v>
      </c>
      <c r="P292" t="inlineStr">
        <is>
          <t>Bomi County Health Center</t>
        </is>
      </c>
      <c r="Q292" t="inlineStr">
        <is>
          <t>M. Toe</t>
        </is>
      </c>
    </row>
    <row r="293">
      <c r="A293" t="inlineStr">
        <is>
          <t>WQ-2026-00290</t>
        </is>
      </c>
      <c r="B293" s="32" t="n">
        <v>46156</v>
      </c>
      <c r="C293" s="33">
        <f>MONTH(B293)</f>
        <v>5</v>
      </c>
      <c r="D293" t="inlineStr">
        <is>
          <t>Bong</t>
        </is>
      </c>
      <c r="E293" t="inlineStr">
        <is>
          <t>Totota - School Water Point</t>
        </is>
      </c>
      <c r="F293" t="inlineStr">
        <is>
          <t>School Water Point</t>
        </is>
      </c>
      <c r="G293" t="inlineStr">
        <is>
          <t>Water</t>
        </is>
      </c>
      <c r="H293" t="inlineStr">
        <is>
          <t>Total Coliform</t>
        </is>
      </c>
      <c r="I293" t="n">
        <v>0</v>
      </c>
      <c r="J293" t="inlineStr">
        <is>
          <t>CFU/100 mL</t>
        </is>
      </c>
      <c r="K293" t="n">
        <v>0</v>
      </c>
      <c r="L293" t="n">
        <v>0</v>
      </c>
      <c r="M293" t="str">
        <f>IF(AND(I293&gt;=K293,I293&lt;=L293),"Yes","No")</f>
        <v>Yes</v>
      </c>
      <c r="N293" s="34">
        <f>IF(L293=0,"",I293/L293)</f>
        <v/>
      </c>
      <c r="O293" s="33" t="n">
        <v>350</v>
      </c>
      <c r="P293" t="inlineStr">
        <is>
          <t>Gbarnga Health Center</t>
        </is>
      </c>
      <c r="Q293" t="inlineStr">
        <is>
          <t>F. Gbato</t>
        </is>
      </c>
    </row>
    <row r="294">
      <c r="A294" t="inlineStr">
        <is>
          <t>AQ-2026-00291</t>
        </is>
      </c>
      <c r="B294" s="32" t="n">
        <v>46167</v>
      </c>
      <c r="C294" s="33">
        <f>MONTH(B294)</f>
        <v>5</v>
      </c>
      <c r="D294" t="inlineStr">
        <is>
          <t>Grand Bassa</t>
        </is>
      </c>
      <c r="E294" t="inlineStr">
        <is>
          <t>Owensgrove - Industrial Perimeter</t>
        </is>
      </c>
      <c r="F294" t="inlineStr">
        <is>
          <t>Industrial Perimeter</t>
        </is>
      </c>
      <c r="G294" t="inlineStr">
        <is>
          <t>Air</t>
        </is>
      </c>
      <c r="H294" t="inlineStr">
        <is>
          <t>PM10</t>
        </is>
      </c>
      <c r="I294" t="n">
        <v>21.3</v>
      </c>
      <c r="J294" t="inlineStr">
        <is>
          <t>ug/m3</t>
        </is>
      </c>
      <c r="K294" t="n">
        <v>0</v>
      </c>
      <c r="L294" t="n">
        <v>50</v>
      </c>
      <c r="M294" t="str">
        <f>IF(AND(I294&gt;=K294,I294&lt;=L294),"Yes","No")</f>
        <v>Yes</v>
      </c>
      <c r="N294" s="34">
        <f>IF(L294=0,"",I294/L294)</f>
        <v>0.426</v>
      </c>
      <c r="O294" s="33" t="n">
        <v>200</v>
      </c>
      <c r="P294" t="inlineStr">
        <is>
          <t>Buchanan Government Hospital</t>
        </is>
      </c>
      <c r="Q294" t="inlineStr">
        <is>
          <t>H. Zolia</t>
        </is>
      </c>
    </row>
    <row r="295">
      <c r="A295" t="inlineStr">
        <is>
          <t>WQ-2026-00292</t>
        </is>
      </c>
      <c r="B295" s="32" t="n">
        <v>46163</v>
      </c>
      <c r="C295" s="33">
        <f>MONTH(B295)</f>
        <v>5</v>
      </c>
      <c r="D295" t="inlineStr">
        <is>
          <t>Nimba</t>
        </is>
      </c>
      <c r="E295" t="inlineStr">
        <is>
          <t>Tappita - School Water Point</t>
        </is>
      </c>
      <c r="F295" t="inlineStr">
        <is>
          <t>School Water Point</t>
        </is>
      </c>
      <c r="G295" t="inlineStr">
        <is>
          <t>Water</t>
        </is>
      </c>
      <c r="H295" t="inlineStr">
        <is>
          <t>E. coli</t>
        </is>
      </c>
      <c r="I295" t="n">
        <v>0</v>
      </c>
      <c r="J295" t="inlineStr">
        <is>
          <t>CFU/100 mL</t>
        </is>
      </c>
      <c r="K295" t="n">
        <v>0</v>
      </c>
      <c r="L295" t="n">
        <v>0</v>
      </c>
      <c r="M295" t="str">
        <f>IF(AND(I295&gt;=K295,I295&lt;=L295),"Yes","No")</f>
        <v>Yes</v>
      </c>
      <c r="N295" s="34">
        <f>IF(L295=0,"",I295/L295)</f>
        <v/>
      </c>
      <c r="O295" s="33" t="n">
        <v>350</v>
      </c>
      <c r="P295" t="inlineStr">
        <is>
          <t>Tappita Referral Hospital</t>
        </is>
      </c>
      <c r="Q295" t="inlineStr">
        <is>
          <t>M. Toe</t>
        </is>
      </c>
    </row>
    <row r="296">
      <c r="A296" t="inlineStr">
        <is>
          <t>WQ-2026-00293</t>
        </is>
      </c>
      <c r="B296" s="32" t="n">
        <v>46173</v>
      </c>
      <c r="C296" s="33">
        <f>MONTH(B296)</f>
        <v>5</v>
      </c>
      <c r="D296" t="inlineStr">
        <is>
          <t>Nimba</t>
        </is>
      </c>
      <c r="E296" t="inlineStr">
        <is>
          <t>Saclepea - River / Stream Intake</t>
        </is>
      </c>
      <c r="F296" t="inlineStr">
        <is>
          <t>River / Stream Intake</t>
        </is>
      </c>
      <c r="G296" t="inlineStr">
        <is>
          <t>Water</t>
        </is>
      </c>
      <c r="H296" t="inlineStr">
        <is>
          <t>E. coli</t>
        </is>
      </c>
      <c r="I296" t="n">
        <v>0</v>
      </c>
      <c r="J296" t="inlineStr">
        <is>
          <t>CFU/100 mL</t>
        </is>
      </c>
      <c r="K296" t="n">
        <v>0</v>
      </c>
      <c r="L296" t="n">
        <v>0</v>
      </c>
      <c r="M296" t="str">
        <f>IF(AND(I296&gt;=K296,I296&lt;=L296),"Yes","No")</f>
        <v>Yes</v>
      </c>
      <c r="N296" s="34">
        <f>IF(L296=0,"",I296/L296)</f>
        <v/>
      </c>
      <c r="O296" s="33" t="n">
        <v>4200</v>
      </c>
      <c r="P296" t="inlineStr">
        <is>
          <t>Tappita Referral Hospital</t>
        </is>
      </c>
      <c r="Q296" t="inlineStr">
        <is>
          <t>J. Nyeman</t>
        </is>
      </c>
    </row>
    <row r="297">
      <c r="A297" t="inlineStr">
        <is>
          <t>AQ-2026-00294</t>
        </is>
      </c>
      <c r="B297" s="32" t="n">
        <v>46150</v>
      </c>
      <c r="C297" s="33">
        <f>MONTH(B297)</f>
        <v>5</v>
      </c>
      <c r="D297" t="inlineStr">
        <is>
          <t>Bong</t>
        </is>
      </c>
      <c r="E297" t="inlineStr">
        <is>
          <t>Palala - Dumpsite Perimeter</t>
        </is>
      </c>
      <c r="F297" t="inlineStr">
        <is>
          <t>Dumpsite Perimeter</t>
        </is>
      </c>
      <c r="G297" t="inlineStr">
        <is>
          <t>Air</t>
        </is>
      </c>
      <c r="H297" t="inlineStr">
        <is>
          <t>PM10</t>
        </is>
      </c>
      <c r="I297" t="n">
        <v>42.5</v>
      </c>
      <c r="J297" t="inlineStr">
        <is>
          <t>ug/m3</t>
        </is>
      </c>
      <c r="K297" t="n">
        <v>0</v>
      </c>
      <c r="L297" t="n">
        <v>50</v>
      </c>
      <c r="M297" t="str">
        <f>IF(AND(I297&gt;=K297,I297&lt;=L297),"Yes","No")</f>
        <v>Yes</v>
      </c>
      <c r="N297" s="34">
        <f>IF(L297=0,"",I297/L297)</f>
        <v>0.85</v>
      </c>
      <c r="O297" s="33" t="n">
        <v>6000</v>
      </c>
      <c r="P297" t="inlineStr">
        <is>
          <t>Phebe Hospital</t>
        </is>
      </c>
      <c r="Q297" t="inlineStr">
        <is>
          <t>E. Sebo</t>
        </is>
      </c>
    </row>
    <row r="298">
      <c r="A298" t="inlineStr">
        <is>
          <t>AQ-2026-00295</t>
        </is>
      </c>
      <c r="B298" s="32" t="n">
        <v>46158</v>
      </c>
      <c r="C298" s="33">
        <f>MONTH(B298)</f>
        <v>5</v>
      </c>
      <c r="D298" t="inlineStr">
        <is>
          <t>Grand Bassa</t>
        </is>
      </c>
      <c r="E298" t="inlineStr">
        <is>
          <t>Owensgrove - Industrial Perimeter</t>
        </is>
      </c>
      <c r="F298" t="inlineStr">
        <is>
          <t>Industrial Perimeter</t>
        </is>
      </c>
      <c r="G298" t="inlineStr">
        <is>
          <t>Air</t>
        </is>
      </c>
      <c r="H298" t="inlineStr">
        <is>
          <t>PM10</t>
        </is>
      </c>
      <c r="I298" t="n">
        <v>41.9</v>
      </c>
      <c r="J298" t="inlineStr">
        <is>
          <t>ug/m3</t>
        </is>
      </c>
      <c r="K298" t="n">
        <v>0</v>
      </c>
      <c r="L298" t="n">
        <v>50</v>
      </c>
      <c r="M298" t="str">
        <f>IF(AND(I298&gt;=K298,I298&lt;=L298),"Yes","No")</f>
        <v>Yes</v>
      </c>
      <c r="N298" s="34">
        <f>IF(L298=0,"",I298/L298)</f>
        <v>0.838</v>
      </c>
      <c r="O298" s="33" t="n">
        <v>0</v>
      </c>
      <c r="P298" t="inlineStr">
        <is>
          <t>Buchanan Government Hospital</t>
        </is>
      </c>
      <c r="Q298" t="inlineStr">
        <is>
          <t>J. Nyeman</t>
        </is>
      </c>
    </row>
    <row r="299">
      <c r="A299" t="inlineStr">
        <is>
          <t>AQ-2026-00296</t>
        </is>
      </c>
      <c r="B299" s="32" t="n">
        <v>46151</v>
      </c>
      <c r="C299" s="33">
        <f>MONTH(B299)</f>
        <v>5</v>
      </c>
      <c r="D299" t="inlineStr">
        <is>
          <t>Nimba</t>
        </is>
      </c>
      <c r="E299" t="inlineStr">
        <is>
          <t>Bea Mountain Mining</t>
        </is>
      </c>
      <c r="F299" t="inlineStr">
        <is>
          <t>Industrial Perimeter</t>
        </is>
      </c>
      <c r="G299" t="inlineStr">
        <is>
          <t>Air</t>
        </is>
      </c>
      <c r="H299" t="inlineStr">
        <is>
          <t>Nitrogen Dioxide (NO2)</t>
        </is>
      </c>
      <c r="I299" t="n">
        <v>30.3</v>
      </c>
      <c r="J299" t="inlineStr">
        <is>
          <t>ug/m3</t>
        </is>
      </c>
      <c r="K299" t="n">
        <v>0</v>
      </c>
      <c r="L299" t="n">
        <v>40</v>
      </c>
      <c r="M299" t="str">
        <f>IF(AND(I299&gt;=K299,I299&lt;=L299),"Yes","No")</f>
        <v>Yes</v>
      </c>
      <c r="N299" s="34">
        <f>IF(L299=0,"",I299/L299)</f>
        <v>0.7575</v>
      </c>
      <c r="O299" s="33" t="n">
        <v>1500</v>
      </c>
      <c r="P299" t="inlineStr">
        <is>
          <t>Saclepea Health Center</t>
        </is>
      </c>
      <c r="Q299" t="inlineStr">
        <is>
          <t>E. Sebo</t>
        </is>
      </c>
    </row>
    <row r="300">
      <c r="A300" t="inlineStr">
        <is>
          <t>WQ-2026-00297</t>
        </is>
      </c>
      <c r="B300" s="32" t="n">
        <v>46154</v>
      </c>
      <c r="C300" s="33">
        <f>MONTH(B300)</f>
        <v>5</v>
      </c>
      <c r="D300" t="inlineStr">
        <is>
          <t>Montserrado</t>
        </is>
      </c>
      <c r="E300" t="inlineStr">
        <is>
          <t>New Kru Town - School Water Point</t>
        </is>
      </c>
      <c r="F300" t="inlineStr">
        <is>
          <t>School Water Point</t>
        </is>
      </c>
      <c r="G300" t="inlineStr">
        <is>
          <t>Water</t>
        </is>
      </c>
      <c r="H300" t="inlineStr">
        <is>
          <t>Lead</t>
        </is>
      </c>
      <c r="I300" t="n">
        <v>0.0009</v>
      </c>
      <c r="J300" t="inlineStr">
        <is>
          <t>mg/L</t>
        </is>
      </c>
      <c r="K300" t="n">
        <v>0</v>
      </c>
      <c r="L300" t="n">
        <v>0.01</v>
      </c>
      <c r="M300" t="str">
        <f>IF(AND(I300&gt;=K300,I300&lt;=L300),"Yes","No")</f>
        <v>Yes</v>
      </c>
      <c r="N300" s="34">
        <f>IF(L300=0,"",I300/L300)</f>
        <v>0.09</v>
      </c>
      <c r="O300" s="33" t="n">
        <v>350</v>
      </c>
      <c r="P300" t="inlineStr">
        <is>
          <t>JFK Memorial Hospital</t>
        </is>
      </c>
      <c r="Q300" t="inlineStr">
        <is>
          <t>M. Toe</t>
        </is>
      </c>
    </row>
    <row r="301">
      <c r="A301" t="inlineStr">
        <is>
          <t>WQ-2026-00298</t>
        </is>
      </c>
      <c r="B301" s="32" t="n">
        <v>46153</v>
      </c>
      <c r="C301" s="33">
        <f>MONTH(B301)</f>
        <v>5</v>
      </c>
      <c r="D301" t="inlineStr">
        <is>
          <t>Sinoe</t>
        </is>
      </c>
      <c r="E301" t="inlineStr">
        <is>
          <t>Butaw - River / Stream Intake</t>
        </is>
      </c>
      <c r="F301" t="inlineStr">
        <is>
          <t>River / Stream Intake</t>
        </is>
      </c>
      <c r="G301" t="inlineStr">
        <is>
          <t>Water</t>
        </is>
      </c>
      <c r="H301" t="inlineStr">
        <is>
          <t>Arsenic</t>
        </is>
      </c>
      <c r="I301" t="n">
        <v>0.0072</v>
      </c>
      <c r="J301" t="inlineStr">
        <is>
          <t>mg/L</t>
        </is>
      </c>
      <c r="K301" t="n">
        <v>0</v>
      </c>
      <c r="L301" t="n">
        <v>0.01</v>
      </c>
      <c r="M301" t="str">
        <f>IF(AND(I301&gt;=K301,I301&lt;=L301),"Yes","No")</f>
        <v>Yes</v>
      </c>
      <c r="N301" s="34">
        <f>IF(L301=0,"",I301/L301)</f>
        <v>0.72</v>
      </c>
      <c r="O301" s="33" t="n">
        <v>4200</v>
      </c>
      <c r="P301" t="inlineStr">
        <is>
          <t>Greenville Health Center</t>
        </is>
      </c>
      <c r="Q301" t="inlineStr">
        <is>
          <t>M. Toe</t>
        </is>
      </c>
    </row>
    <row r="302">
      <c r="A302" t="inlineStr">
        <is>
          <t>WQ-2026-00299</t>
        </is>
      </c>
      <c r="B302" s="32" t="n">
        <v>46166</v>
      </c>
      <c r="C302" s="33">
        <f>MONTH(B302)</f>
        <v>5</v>
      </c>
      <c r="D302" t="inlineStr">
        <is>
          <t>Montserrado</t>
        </is>
      </c>
      <c r="E302" t="inlineStr">
        <is>
          <t>West Point - Health Facility Supply</t>
        </is>
      </c>
      <c r="F302" t="inlineStr">
        <is>
          <t>Health Facility Supply</t>
        </is>
      </c>
      <c r="G302" t="inlineStr">
        <is>
          <t>Water</t>
        </is>
      </c>
      <c r="H302" t="inlineStr">
        <is>
          <t>Manganese</t>
        </is>
      </c>
      <c r="I302" t="n">
        <v>0.44</v>
      </c>
      <c r="J302" t="inlineStr">
        <is>
          <t>mg/L</t>
        </is>
      </c>
      <c r="K302" t="n">
        <v>0</v>
      </c>
      <c r="L302" t="n">
        <v>0.4</v>
      </c>
      <c r="M302" t="str">
        <f>IF(AND(I302&gt;=K302,I302&lt;=L302),"Yes","No")</f>
        <v>No</v>
      </c>
      <c r="N302" s="34">
        <f>IF(L302=0,"",I302/L302)</f>
        <v>1.1</v>
      </c>
      <c r="O302" s="33" t="n">
        <v>1200</v>
      </c>
      <c r="P302" t="inlineStr">
        <is>
          <t>Redemption Hospital</t>
        </is>
      </c>
      <c r="Q302" t="inlineStr">
        <is>
          <t>B. Kpadeh</t>
        </is>
      </c>
    </row>
    <row r="303">
      <c r="A303" t="inlineStr">
        <is>
          <t>WQ-2026-00300</t>
        </is>
      </c>
      <c r="B303" s="32" t="n">
        <v>46158</v>
      </c>
      <c r="C303" s="33">
        <f>MONTH(B303)</f>
        <v>5</v>
      </c>
      <c r="D303" t="inlineStr">
        <is>
          <t>Montserrado</t>
        </is>
      </c>
      <c r="E303" t="inlineStr">
        <is>
          <t>West Point - Health Facility Supply</t>
        </is>
      </c>
      <c r="F303" t="inlineStr">
        <is>
          <t>Health Facility Supply</t>
        </is>
      </c>
      <c r="G303" t="inlineStr">
        <is>
          <t>Water</t>
        </is>
      </c>
      <c r="H303" t="inlineStr">
        <is>
          <t>Nitrate (as NO3)</t>
        </is>
      </c>
      <c r="I303" t="n">
        <v>3.2</v>
      </c>
      <c r="J303" t="inlineStr">
        <is>
          <t>mg/L</t>
        </is>
      </c>
      <c r="K303" t="n">
        <v>0</v>
      </c>
      <c r="L303" t="n">
        <v>10</v>
      </c>
      <c r="M303" t="str">
        <f>IF(AND(I303&gt;=K303,I303&lt;=L303),"Yes","No")</f>
        <v>Yes</v>
      </c>
      <c r="N303" s="34">
        <f>IF(L303=0,"",I303/L303)</f>
        <v>0.32</v>
      </c>
      <c r="O303" s="33" t="n">
        <v>500</v>
      </c>
      <c r="P303" t="inlineStr">
        <is>
          <t>Redemption Hospital</t>
        </is>
      </c>
      <c r="Q303" t="inlineStr">
        <is>
          <t>B. Kpadeh</t>
        </is>
      </c>
    </row>
    <row r="304">
      <c r="A304" t="inlineStr">
        <is>
          <t>WQ-2026-00301</t>
        </is>
      </c>
      <c r="B304" s="32" t="n">
        <v>46163</v>
      </c>
      <c r="C304" s="33">
        <f>MONTH(B304)</f>
        <v>5</v>
      </c>
      <c r="D304" t="inlineStr">
        <is>
          <t>Bomi</t>
        </is>
      </c>
      <c r="E304" t="inlineStr">
        <is>
          <t>Klay - Hand-Dug Well</t>
        </is>
      </c>
      <c r="F304" t="inlineStr">
        <is>
          <t>Hand-Dug Well</t>
        </is>
      </c>
      <c r="G304" t="inlineStr">
        <is>
          <t>Water</t>
        </is>
      </c>
      <c r="H304" t="inlineStr">
        <is>
          <t>Turbidity</t>
        </is>
      </c>
      <c r="I304" t="n">
        <v>0.4</v>
      </c>
      <c r="J304" t="inlineStr">
        <is>
          <t>NTU</t>
        </is>
      </c>
      <c r="K304" t="n">
        <v>0</v>
      </c>
      <c r="L304" t="n">
        <v>5</v>
      </c>
      <c r="M304" t="str">
        <f>IF(AND(I304&gt;=K304,I304&lt;=L304),"Yes","No")</f>
        <v>Yes</v>
      </c>
      <c r="N304" s="34">
        <f>IF(L304=0,"",I304/L304)</f>
        <v>0.08</v>
      </c>
      <c r="O304" s="33" t="n">
        <v>1200</v>
      </c>
      <c r="P304" t="inlineStr">
        <is>
          <t>Klay Clinic</t>
        </is>
      </c>
      <c r="Q304" t="inlineStr">
        <is>
          <t>P. Wleh</t>
        </is>
      </c>
    </row>
    <row r="305">
      <c r="A305" t="inlineStr">
        <is>
          <t>WQ-2026-00302</t>
        </is>
      </c>
      <c r="B305" s="32" t="n">
        <v>46148</v>
      </c>
      <c r="C305" s="33">
        <f>MONTH(B305)</f>
        <v>5</v>
      </c>
      <c r="D305" t="inlineStr">
        <is>
          <t>Montserrado</t>
        </is>
      </c>
      <c r="E305" t="inlineStr">
        <is>
          <t>Gardnersville - Community Borehole</t>
        </is>
      </c>
      <c r="F305" t="inlineStr">
        <is>
          <t>Community Borehole</t>
        </is>
      </c>
      <c r="G305" t="inlineStr">
        <is>
          <t>Water</t>
        </is>
      </c>
      <c r="H305" t="inlineStr">
        <is>
          <t>Lead</t>
        </is>
      </c>
      <c r="I305" t="n">
        <v>0.0054</v>
      </c>
      <c r="J305" t="inlineStr">
        <is>
          <t>mg/L</t>
        </is>
      </c>
      <c r="K305" t="n">
        <v>0</v>
      </c>
      <c r="L305" t="n">
        <v>0.01</v>
      </c>
      <c r="M305" t="str">
        <f>IF(AND(I305&gt;=K305,I305&lt;=L305),"Yes","No")</f>
        <v>Yes</v>
      </c>
      <c r="N305" s="34">
        <f>IF(L305=0,"",I305/L305)</f>
        <v>0.54</v>
      </c>
      <c r="O305" s="33" t="n">
        <v>120</v>
      </c>
      <c r="P305" t="inlineStr">
        <is>
          <t>Redemption Hospital</t>
        </is>
      </c>
      <c r="Q305" t="inlineStr">
        <is>
          <t>F. Gbato</t>
        </is>
      </c>
    </row>
    <row r="306">
      <c r="A306" t="inlineStr">
        <is>
          <t>WQ-2026-00303</t>
        </is>
      </c>
      <c r="B306" s="32" t="n">
        <v>46159</v>
      </c>
      <c r="C306" s="33">
        <f>MONTH(B306)</f>
        <v>5</v>
      </c>
      <c r="D306" t="inlineStr">
        <is>
          <t>Grand Bassa</t>
        </is>
      </c>
      <c r="E306" t="inlineStr">
        <is>
          <t>Owensgrove - Health Facility Supply</t>
        </is>
      </c>
      <c r="F306" t="inlineStr">
        <is>
          <t>Health Facility Supply</t>
        </is>
      </c>
      <c r="G306" t="inlineStr">
        <is>
          <t>Water</t>
        </is>
      </c>
      <c r="H306" t="inlineStr">
        <is>
          <t>Arsenic</t>
        </is>
      </c>
      <c r="I306" t="n">
        <v>0.0066</v>
      </c>
      <c r="J306" t="inlineStr">
        <is>
          <t>mg/L</t>
        </is>
      </c>
      <c r="K306" t="n">
        <v>0</v>
      </c>
      <c r="L306" t="n">
        <v>0.01</v>
      </c>
      <c r="M306" t="str">
        <f>IF(AND(I306&gt;=K306,I306&lt;=L306),"Yes","No")</f>
        <v>Yes</v>
      </c>
      <c r="N306" s="34">
        <f>IF(L306=0,"",I306/L306)</f>
        <v>0.66</v>
      </c>
      <c r="O306" s="33" t="n">
        <v>350</v>
      </c>
      <c r="P306" t="inlineStr">
        <is>
          <t>Edina Health Center</t>
        </is>
      </c>
      <c r="Q306" t="inlineStr">
        <is>
          <t>T. Mulbah</t>
        </is>
      </c>
    </row>
    <row r="307">
      <c r="A307" t="inlineStr">
        <is>
          <t>RD-2026-00304</t>
        </is>
      </c>
      <c r="B307" s="32" t="n">
        <v>46158</v>
      </c>
      <c r="C307" s="33">
        <f>MONTH(B307)</f>
        <v>5</v>
      </c>
      <c r="D307" t="inlineStr">
        <is>
          <t>Bong</t>
        </is>
      </c>
      <c r="E307" t="inlineStr">
        <is>
          <t>Palala - Medical Facility</t>
        </is>
      </c>
      <c r="F307" t="inlineStr">
        <is>
          <t>Medical Facility</t>
        </is>
      </c>
      <c r="G307" t="inlineStr">
        <is>
          <t>Ambient Radiation</t>
        </is>
      </c>
      <c r="H307" t="inlineStr">
        <is>
          <t>Gamma Dose Rate</t>
        </is>
      </c>
      <c r="I307" t="n">
        <v>0.18</v>
      </c>
      <c r="J307" t="inlineStr">
        <is>
          <t>uSv/h</t>
        </is>
      </c>
      <c r="K307" t="n">
        <v>0</v>
      </c>
      <c r="L307" t="n">
        <v>0.3</v>
      </c>
      <c r="M307" t="str">
        <f>IF(AND(I307&gt;=K307,I307&lt;=L307),"Yes","No")</f>
        <v>Yes</v>
      </c>
      <c r="N307" s="34">
        <f>IF(L307=0,"",I307/L307)</f>
        <v>0.6</v>
      </c>
      <c r="O307" s="33" t="n">
        <v>0</v>
      </c>
      <c r="P307" t="inlineStr">
        <is>
          <t>Phebe Hospital</t>
        </is>
      </c>
      <c r="Q307" t="inlineStr">
        <is>
          <t>S. Dolo</t>
        </is>
      </c>
    </row>
    <row r="308">
      <c r="A308" t="inlineStr">
        <is>
          <t>WQ-2026-00305</t>
        </is>
      </c>
      <c r="B308" s="32" t="n">
        <v>46163</v>
      </c>
      <c r="C308" s="33">
        <f>MONTH(B308)</f>
        <v>5</v>
      </c>
      <c r="D308" t="inlineStr">
        <is>
          <t>Grand Bassa</t>
        </is>
      </c>
      <c r="E308" t="inlineStr">
        <is>
          <t>Owensgrove - River / Stream Intake</t>
        </is>
      </c>
      <c r="F308" t="inlineStr">
        <is>
          <t>River / Stream Intake</t>
        </is>
      </c>
      <c r="G308" t="inlineStr">
        <is>
          <t>Water</t>
        </is>
      </c>
      <c r="H308" t="inlineStr">
        <is>
          <t>Arsenic</t>
        </is>
      </c>
      <c r="I308" t="n">
        <v>0.0074</v>
      </c>
      <c r="J308" t="inlineStr">
        <is>
          <t>mg/L</t>
        </is>
      </c>
      <c r="K308" t="n">
        <v>0</v>
      </c>
      <c r="L308" t="n">
        <v>0.01</v>
      </c>
      <c r="M308" t="str">
        <f>IF(AND(I308&gt;=K308,I308&lt;=L308),"Yes","No")</f>
        <v>Yes</v>
      </c>
      <c r="N308" s="34">
        <f>IF(L308=0,"",I308/L308)</f>
        <v>0.74</v>
      </c>
      <c r="O308" s="33" t="n">
        <v>120</v>
      </c>
      <c r="P308" t="inlineStr">
        <is>
          <t>Buchanan Government Hospital</t>
        </is>
      </c>
      <c r="Q308" t="inlineStr">
        <is>
          <t>F. Gbato</t>
        </is>
      </c>
    </row>
    <row r="309">
      <c r="A309" t="inlineStr">
        <is>
          <t>WQ-2026-00306</t>
        </is>
      </c>
      <c r="B309" s="32" t="n">
        <v>46143</v>
      </c>
      <c r="C309" s="33">
        <f>MONTH(B309)</f>
        <v>5</v>
      </c>
      <c r="D309" t="inlineStr">
        <is>
          <t>Grand Bassa</t>
        </is>
      </c>
      <c r="E309" t="inlineStr">
        <is>
          <t>St. John River - Community Borehole</t>
        </is>
      </c>
      <c r="F309" t="inlineStr">
        <is>
          <t>Community Borehole</t>
        </is>
      </c>
      <c r="G309" t="inlineStr">
        <is>
          <t>Water</t>
        </is>
      </c>
      <c r="H309" t="inlineStr">
        <is>
          <t>Turbidity</t>
        </is>
      </c>
      <c r="I309" t="n">
        <v>3.2</v>
      </c>
      <c r="J309" t="inlineStr">
        <is>
          <t>NTU</t>
        </is>
      </c>
      <c r="K309" t="n">
        <v>0</v>
      </c>
      <c r="L309" t="n">
        <v>5</v>
      </c>
      <c r="M309" t="str">
        <f>IF(AND(I309&gt;=K309,I309&lt;=L309),"Yes","No")</f>
        <v>Yes</v>
      </c>
      <c r="N309" s="34">
        <f>IF(L309=0,"",I309/L309)</f>
        <v>0.64</v>
      </c>
      <c r="O309" s="33" t="n">
        <v>2500</v>
      </c>
      <c r="P309" t="inlineStr">
        <is>
          <t>Edina Health Center</t>
        </is>
      </c>
      <c r="Q309" t="inlineStr">
        <is>
          <t>H. Zolia</t>
        </is>
      </c>
    </row>
    <row r="310">
      <c r="A310" t="inlineStr">
        <is>
          <t>WQ-2026-00307</t>
        </is>
      </c>
      <c r="B310" s="32" t="n">
        <v>46166</v>
      </c>
      <c r="C310" s="33">
        <f>MONTH(B310)</f>
        <v>5</v>
      </c>
      <c r="D310" t="inlineStr">
        <is>
          <t>Grand Cape Mount</t>
        </is>
      </c>
      <c r="E310" t="inlineStr">
        <is>
          <t>Robertsport - Health Facility Supply</t>
        </is>
      </c>
      <c r="F310" t="inlineStr">
        <is>
          <t>Health Facility Supply</t>
        </is>
      </c>
      <c r="G310" t="inlineStr">
        <is>
          <t>Water</t>
        </is>
      </c>
      <c r="H310" t="inlineStr">
        <is>
          <t>Nitrate (as NO3)</t>
        </is>
      </c>
      <c r="I310" t="n">
        <v>3.9</v>
      </c>
      <c r="J310" t="inlineStr">
        <is>
          <t>mg/L</t>
        </is>
      </c>
      <c r="K310" t="n">
        <v>0</v>
      </c>
      <c r="L310" t="n">
        <v>10</v>
      </c>
      <c r="M310" t="str">
        <f>IF(AND(I310&gt;=K310,I310&lt;=L310),"Yes","No")</f>
        <v>Yes</v>
      </c>
      <c r="N310" s="34">
        <f>IF(L310=0,"",I310/L310)</f>
        <v>0.39</v>
      </c>
      <c r="O310" s="33" t="n">
        <v>2500</v>
      </c>
      <c r="P310" t="inlineStr">
        <is>
          <t>St. Timothy Hospital</t>
        </is>
      </c>
      <c r="Q310" t="inlineStr">
        <is>
          <t>F. Gbato</t>
        </is>
      </c>
    </row>
    <row r="311">
      <c r="A311" t="inlineStr">
        <is>
          <t>WQ-2026-00308</t>
        </is>
      </c>
      <c r="B311" s="32" t="n">
        <v>46169</v>
      </c>
      <c r="C311" s="33">
        <f>MONTH(B311)</f>
        <v>5</v>
      </c>
      <c r="D311" t="inlineStr">
        <is>
          <t>Grand Bassa</t>
        </is>
      </c>
      <c r="E311" t="inlineStr">
        <is>
          <t>Buchanan - Health Facility Supply</t>
        </is>
      </c>
      <c r="F311" t="inlineStr">
        <is>
          <t>Health Facility Supply</t>
        </is>
      </c>
      <c r="G311" t="inlineStr">
        <is>
          <t>Water</t>
        </is>
      </c>
      <c r="H311" t="inlineStr">
        <is>
          <t>Iron</t>
        </is>
      </c>
      <c r="I311" t="n">
        <v>0.04</v>
      </c>
      <c r="J311" t="inlineStr">
        <is>
          <t>mg/L</t>
        </is>
      </c>
      <c r="K311" t="n">
        <v>0</v>
      </c>
      <c r="L311" t="n">
        <v>0.3</v>
      </c>
      <c r="M311" t="str">
        <f>IF(AND(I311&gt;=K311,I311&lt;=L311),"Yes","No")</f>
        <v>Yes</v>
      </c>
      <c r="N311" s="34">
        <f>IF(L311=0,"",I311/L311)</f>
        <v>0.1333333333</v>
      </c>
      <c r="O311" s="33" t="n">
        <v>900</v>
      </c>
      <c r="P311" t="inlineStr">
        <is>
          <t>Edina Health Center</t>
        </is>
      </c>
      <c r="Q311" t="inlineStr">
        <is>
          <t>H. Zolia</t>
        </is>
      </c>
    </row>
    <row r="312">
      <c r="A312" t="inlineStr">
        <is>
          <t>AQ-2026-00309</t>
        </is>
      </c>
      <c r="B312" s="32" t="n">
        <v>46173</v>
      </c>
      <c r="C312" s="33">
        <f>MONTH(B312)</f>
        <v>5</v>
      </c>
      <c r="D312" t="inlineStr">
        <is>
          <t>Bong</t>
        </is>
      </c>
      <c r="E312" t="inlineStr">
        <is>
          <t>Monrovia Breweries</t>
        </is>
      </c>
      <c r="F312" t="inlineStr">
        <is>
          <t>Industrial Perimeter</t>
        </is>
      </c>
      <c r="G312" t="inlineStr">
        <is>
          <t>Air</t>
        </is>
      </c>
      <c r="H312" t="inlineStr">
        <is>
          <t>Sulphur Dioxide (SO2)</t>
        </is>
      </c>
      <c r="I312" t="n">
        <v>144</v>
      </c>
      <c r="J312" t="inlineStr">
        <is>
          <t>ug/m3</t>
        </is>
      </c>
      <c r="K312" t="n">
        <v>0</v>
      </c>
      <c r="L312" t="n">
        <v>125</v>
      </c>
      <c r="M312" t="str">
        <f>IF(AND(I312&gt;=K312,I312&lt;=L312),"Yes","No")</f>
        <v>No</v>
      </c>
      <c r="N312" s="34">
        <f>IF(L312=0,"",I312/L312)</f>
        <v>1.152</v>
      </c>
      <c r="O312" s="33" t="n">
        <v>200</v>
      </c>
      <c r="P312" t="inlineStr">
        <is>
          <t>Gbarnga Health Center</t>
        </is>
      </c>
      <c r="Q312" t="inlineStr">
        <is>
          <t>S. Dolo</t>
        </is>
      </c>
    </row>
    <row r="313">
      <c r="A313" t="inlineStr">
        <is>
          <t>AQ-2026-00310</t>
        </is>
      </c>
      <c r="B313" s="32" t="n">
        <v>46144</v>
      </c>
      <c r="C313" s="33">
        <f>MONTH(B313)</f>
        <v>5</v>
      </c>
      <c r="D313" t="inlineStr">
        <is>
          <t>Grand Bassa</t>
        </is>
      </c>
      <c r="E313" t="inlineStr">
        <is>
          <t>Golden Veroleum Palm Oil</t>
        </is>
      </c>
      <c r="F313" t="inlineStr">
        <is>
          <t>Industrial Perimeter</t>
        </is>
      </c>
      <c r="G313" t="inlineStr">
        <is>
          <t>Air</t>
        </is>
      </c>
      <c r="H313" t="inlineStr">
        <is>
          <t>Sulphur Dioxide (SO2)</t>
        </is>
      </c>
      <c r="I313" t="n">
        <v>23</v>
      </c>
      <c r="J313" t="inlineStr">
        <is>
          <t>ug/m3</t>
        </is>
      </c>
      <c r="K313" t="n">
        <v>0</v>
      </c>
      <c r="L313" t="n">
        <v>125</v>
      </c>
      <c r="M313" t="str">
        <f>IF(AND(I313&gt;=K313,I313&lt;=L313),"Yes","No")</f>
        <v>Yes</v>
      </c>
      <c r="N313" s="34">
        <f>IF(L313=0,"",I313/L313)</f>
        <v>0.184</v>
      </c>
      <c r="O313" s="33" t="n">
        <v>200</v>
      </c>
      <c r="P313" t="inlineStr">
        <is>
          <t>Edina Health Center</t>
        </is>
      </c>
      <c r="Q313" t="inlineStr">
        <is>
          <t>P. Wleh</t>
        </is>
      </c>
    </row>
    <row r="314">
      <c r="A314" t="inlineStr">
        <is>
          <t>SL-2026-00311</t>
        </is>
      </c>
      <c r="B314" s="32" t="n">
        <v>46159</v>
      </c>
      <c r="C314" s="33">
        <f>MONTH(B314)</f>
        <v>5</v>
      </c>
      <c r="D314" t="inlineStr">
        <is>
          <t>Maryland</t>
        </is>
      </c>
      <c r="E314" t="inlineStr">
        <is>
          <t>Karloken - School Grounds</t>
        </is>
      </c>
      <c r="F314" t="inlineStr">
        <is>
          <t>School Grounds</t>
        </is>
      </c>
      <c r="G314" t="inlineStr">
        <is>
          <t>Soil</t>
        </is>
      </c>
      <c r="H314" t="inlineStr">
        <is>
          <t>Cadmium</t>
        </is>
      </c>
      <c r="I314" t="n">
        <v>1.5</v>
      </c>
      <c r="J314" t="inlineStr">
        <is>
          <t>mg/kg</t>
        </is>
      </c>
      <c r="K314" t="n">
        <v>0</v>
      </c>
      <c r="L314" t="n">
        <v>3</v>
      </c>
      <c r="M314" t="str">
        <f>IF(AND(I314&gt;=K314,I314&lt;=L314),"Yes","No")</f>
        <v>Yes</v>
      </c>
      <c r="N314" s="34">
        <f>IF(L314=0,"",I314/L314)</f>
        <v>0.5</v>
      </c>
      <c r="O314" s="33" t="n">
        <v>0</v>
      </c>
      <c r="P314" t="inlineStr">
        <is>
          <t>Pleebo Health Center</t>
        </is>
      </c>
      <c r="Q314" t="inlineStr">
        <is>
          <t>E. Sebo</t>
        </is>
      </c>
    </row>
    <row r="315">
      <c r="A315" t="inlineStr">
        <is>
          <t>SL-2026-00312</t>
        </is>
      </c>
      <c r="B315" s="32" t="n">
        <v>46155</v>
      </c>
      <c r="C315" s="33">
        <f>MONTH(B315)</f>
        <v>5</v>
      </c>
      <c r="D315" t="inlineStr">
        <is>
          <t>Nimba</t>
        </is>
      </c>
      <c r="E315" t="inlineStr">
        <is>
          <t>Karnplay - Playground</t>
        </is>
      </c>
      <c r="F315" t="inlineStr">
        <is>
          <t>Playground</t>
        </is>
      </c>
      <c r="G315" t="inlineStr">
        <is>
          <t>Soil</t>
        </is>
      </c>
      <c r="H315" t="inlineStr">
        <is>
          <t>Arsenic</t>
        </is>
      </c>
      <c r="I315" t="n">
        <v>2.2</v>
      </c>
      <c r="J315" t="inlineStr">
        <is>
          <t>mg/kg</t>
        </is>
      </c>
      <c r="K315" t="n">
        <v>0</v>
      </c>
      <c r="L315" t="n">
        <v>20</v>
      </c>
      <c r="M315" t="str">
        <f>IF(AND(I315&gt;=K315,I315&lt;=L315),"Yes","No")</f>
        <v>Yes</v>
      </c>
      <c r="N315" s="34">
        <f>IF(L315=0,"",I315/L315)</f>
        <v>0.11</v>
      </c>
      <c r="O315" s="33" t="n">
        <v>3500</v>
      </c>
      <c r="P315" t="inlineStr">
        <is>
          <t>Ganta United Methodist Hospital</t>
        </is>
      </c>
      <c r="Q315" t="inlineStr">
        <is>
          <t>T. Mulbah</t>
        </is>
      </c>
    </row>
    <row r="316">
      <c r="A316" t="inlineStr">
        <is>
          <t>WQ-2026-00313</t>
        </is>
      </c>
      <c r="B316" s="32" t="n">
        <v>46164</v>
      </c>
      <c r="C316" s="33">
        <f>MONTH(B316)</f>
        <v>5</v>
      </c>
      <c r="D316" t="inlineStr">
        <is>
          <t>Lofa</t>
        </is>
      </c>
      <c r="E316" t="inlineStr">
        <is>
          <t>Zorzor - River / Stream Intake</t>
        </is>
      </c>
      <c r="F316" t="inlineStr">
        <is>
          <t>River / Stream Intake</t>
        </is>
      </c>
      <c r="G316" t="inlineStr">
        <is>
          <t>Water</t>
        </is>
      </c>
      <c r="H316" t="inlineStr">
        <is>
          <t>Nitrate (as NO3)</t>
        </is>
      </c>
      <c r="I316" t="n">
        <v>9.1</v>
      </c>
      <c r="J316" t="inlineStr">
        <is>
          <t>mg/L</t>
        </is>
      </c>
      <c r="K316" t="n">
        <v>0</v>
      </c>
      <c r="L316" t="n">
        <v>10</v>
      </c>
      <c r="M316" t="str">
        <f>IF(AND(I316&gt;=K316,I316&lt;=L316),"Yes","No")</f>
        <v>Yes</v>
      </c>
      <c r="N316" s="34">
        <f>IF(L316=0,"",I316/L316)</f>
        <v>0.91</v>
      </c>
      <c r="O316" s="33" t="n">
        <v>1800</v>
      </c>
      <c r="P316" t="inlineStr">
        <is>
          <t>Curran Lutheran Hospital</t>
        </is>
      </c>
      <c r="Q316" t="inlineStr">
        <is>
          <t>M. Toe</t>
        </is>
      </c>
    </row>
    <row r="317">
      <c r="A317" t="inlineStr">
        <is>
          <t>WQ-2026-00314</t>
        </is>
      </c>
      <c r="B317" s="32" t="n">
        <v>46159</v>
      </c>
      <c r="C317" s="33">
        <f>MONTH(B317)</f>
        <v>5</v>
      </c>
      <c r="D317" t="inlineStr">
        <is>
          <t>Montserrado</t>
        </is>
      </c>
      <c r="E317" t="inlineStr">
        <is>
          <t>Paynesville - Hand-Dug Well</t>
        </is>
      </c>
      <c r="F317" t="inlineStr">
        <is>
          <t>Hand-Dug Well</t>
        </is>
      </c>
      <c r="G317" t="inlineStr">
        <is>
          <t>Water</t>
        </is>
      </c>
      <c r="H317" t="inlineStr">
        <is>
          <t>Iron</t>
        </is>
      </c>
      <c r="I317" t="n">
        <v>0.24</v>
      </c>
      <c r="J317" t="inlineStr">
        <is>
          <t>mg/L</t>
        </is>
      </c>
      <c r="K317" t="n">
        <v>0</v>
      </c>
      <c r="L317" t="n">
        <v>0.3</v>
      </c>
      <c r="M317" t="str">
        <f>IF(AND(I317&gt;=K317,I317&lt;=L317),"Yes","No")</f>
        <v>Yes</v>
      </c>
      <c r="N317" s="34">
        <f>IF(L317=0,"",I317/L317)</f>
        <v>0.8</v>
      </c>
      <c r="O317" s="33" t="n">
        <v>900</v>
      </c>
      <c r="P317" t="inlineStr">
        <is>
          <t>St. Joseph's Catholic Hospital</t>
        </is>
      </c>
      <c r="Q317" t="inlineStr">
        <is>
          <t>E. Sebo</t>
        </is>
      </c>
    </row>
    <row r="318">
      <c r="A318" t="inlineStr">
        <is>
          <t>AQ-2026-00315</t>
        </is>
      </c>
      <c r="B318" s="32" t="n">
        <v>46171</v>
      </c>
      <c r="C318" s="33">
        <f>MONTH(B318)</f>
        <v>5</v>
      </c>
      <c r="D318" t="inlineStr">
        <is>
          <t>Montserrado</t>
        </is>
      </c>
      <c r="E318" t="inlineStr">
        <is>
          <t>Gardnersville - Industrial Perimeter</t>
        </is>
      </c>
      <c r="F318" t="inlineStr">
        <is>
          <t>Industrial Perimeter</t>
        </is>
      </c>
      <c r="G318" t="inlineStr">
        <is>
          <t>Air</t>
        </is>
      </c>
      <c r="H318" t="inlineStr">
        <is>
          <t>PM10</t>
        </is>
      </c>
      <c r="I318" t="n">
        <v>28.3</v>
      </c>
      <c r="J318" t="inlineStr">
        <is>
          <t>ug/m3</t>
        </is>
      </c>
      <c r="K318" t="n">
        <v>0</v>
      </c>
      <c r="L318" t="n">
        <v>50</v>
      </c>
      <c r="M318" t="str">
        <f>IF(AND(I318&gt;=K318,I318&lt;=L318),"Yes","No")</f>
        <v>Yes</v>
      </c>
      <c r="N318" s="34">
        <f>IF(L318=0,"",I318/L318)</f>
        <v>0.566</v>
      </c>
      <c r="O318" s="33" t="n">
        <v>6000</v>
      </c>
      <c r="P318" t="inlineStr">
        <is>
          <t>St. Joseph's Catholic Hospital</t>
        </is>
      </c>
      <c r="Q318" t="inlineStr">
        <is>
          <t>J. Nyeman</t>
        </is>
      </c>
    </row>
    <row r="319">
      <c r="A319" t="inlineStr">
        <is>
          <t>AQ-2026-00316</t>
        </is>
      </c>
      <c r="B319" s="32" t="n">
        <v>46163</v>
      </c>
      <c r="C319" s="33">
        <f>MONTH(B319)</f>
        <v>5</v>
      </c>
      <c r="D319" t="inlineStr">
        <is>
          <t>Bong</t>
        </is>
      </c>
      <c r="E319" t="inlineStr">
        <is>
          <t>Maryland Oil Palm Estate</t>
        </is>
      </c>
      <c r="F319" t="inlineStr">
        <is>
          <t>Industrial Perimeter</t>
        </is>
      </c>
      <c r="G319" t="inlineStr">
        <is>
          <t>Air</t>
        </is>
      </c>
      <c r="H319" t="inlineStr">
        <is>
          <t>PM2.5</t>
        </is>
      </c>
      <c r="I319" t="n">
        <v>15.3</v>
      </c>
      <c r="J319" t="inlineStr">
        <is>
          <t>ug/m3</t>
        </is>
      </c>
      <c r="K319" t="n">
        <v>0</v>
      </c>
      <c r="L319" t="n">
        <v>25</v>
      </c>
      <c r="M319" t="str">
        <f>IF(AND(I319&gt;=K319,I319&lt;=L319),"Yes","No")</f>
        <v>Yes</v>
      </c>
      <c r="N319" s="34">
        <f>IF(L319=0,"",I319/L319)</f>
        <v>0.612</v>
      </c>
      <c r="O319" s="33" t="n">
        <v>6000</v>
      </c>
      <c r="P319" t="inlineStr">
        <is>
          <t>Phebe Hospital</t>
        </is>
      </c>
      <c r="Q319" t="inlineStr">
        <is>
          <t>T. Mulbah</t>
        </is>
      </c>
    </row>
    <row r="320">
      <c r="A320" t="inlineStr">
        <is>
          <t>WQ-2026-00317</t>
        </is>
      </c>
      <c r="B320" s="32" t="n">
        <v>46164</v>
      </c>
      <c r="C320" s="33">
        <f>MONTH(B320)</f>
        <v>5</v>
      </c>
      <c r="D320" t="inlineStr">
        <is>
          <t>Lofa</t>
        </is>
      </c>
      <c r="E320" t="inlineStr">
        <is>
          <t>Zorzor - School Water Point</t>
        </is>
      </c>
      <c r="F320" t="inlineStr">
        <is>
          <t>School Water Point</t>
        </is>
      </c>
      <c r="G320" t="inlineStr">
        <is>
          <t>Water</t>
        </is>
      </c>
      <c r="H320" t="inlineStr">
        <is>
          <t>Iron</t>
        </is>
      </c>
      <c r="I320" t="n">
        <v>0.14</v>
      </c>
      <c r="J320" t="inlineStr">
        <is>
          <t>mg/L</t>
        </is>
      </c>
      <c r="K320" t="n">
        <v>0</v>
      </c>
      <c r="L320" t="n">
        <v>0.3</v>
      </c>
      <c r="M320" t="str">
        <f>IF(AND(I320&gt;=K320,I320&lt;=L320),"Yes","No")</f>
        <v>Yes</v>
      </c>
      <c r="N320" s="34">
        <f>IF(L320=0,"",I320/L320)</f>
        <v>0.4666666667</v>
      </c>
      <c r="O320" s="33" t="n">
        <v>2500</v>
      </c>
      <c r="P320" t="inlineStr">
        <is>
          <t>Foya Health Center</t>
        </is>
      </c>
      <c r="Q320" t="inlineStr">
        <is>
          <t>S. Dolo</t>
        </is>
      </c>
    </row>
    <row r="321">
      <c r="A321" t="inlineStr">
        <is>
          <t>AQ-2026-00318</t>
        </is>
      </c>
      <c r="B321" s="32" t="n">
        <v>46164</v>
      </c>
      <c r="C321" s="33">
        <f>MONTH(B321)</f>
        <v>5</v>
      </c>
      <c r="D321" t="inlineStr">
        <is>
          <t>Nimba</t>
        </is>
      </c>
      <c r="E321" t="inlineStr">
        <is>
          <t>Maryland Oil Palm Estate</t>
        </is>
      </c>
      <c r="F321" t="inlineStr">
        <is>
          <t>Industrial Perimeter</t>
        </is>
      </c>
      <c r="G321" t="inlineStr">
        <is>
          <t>Air</t>
        </is>
      </c>
      <c r="H321" t="inlineStr">
        <is>
          <t>Nitrogen Dioxide (NO2)</t>
        </is>
      </c>
      <c r="I321" t="n">
        <v>18.6</v>
      </c>
      <c r="J321" t="inlineStr">
        <is>
          <t>ug/m3</t>
        </is>
      </c>
      <c r="K321" t="n">
        <v>0</v>
      </c>
      <c r="L321" t="n">
        <v>40</v>
      </c>
      <c r="M321" t="str">
        <f>IF(AND(I321&gt;=K321,I321&lt;=L321),"Yes","No")</f>
        <v>Yes</v>
      </c>
      <c r="N321" s="34">
        <f>IF(L321=0,"",I321/L321)</f>
        <v>0.465</v>
      </c>
      <c r="O321" s="33" t="n">
        <v>2200</v>
      </c>
      <c r="P321" t="inlineStr">
        <is>
          <t>Tappita Referral Hospital</t>
        </is>
      </c>
      <c r="Q321" t="inlineStr">
        <is>
          <t>S. Dolo</t>
        </is>
      </c>
    </row>
    <row r="322">
      <c r="A322" t="inlineStr">
        <is>
          <t>WQ-2026-00319</t>
        </is>
      </c>
      <c r="B322" s="32" t="n">
        <v>46147</v>
      </c>
      <c r="C322" s="33">
        <f>MONTH(B322)</f>
        <v>5</v>
      </c>
      <c r="D322" t="inlineStr">
        <is>
          <t>Margibi</t>
        </is>
      </c>
      <c r="E322" t="inlineStr">
        <is>
          <t>Harbel - Public Tap Stand</t>
        </is>
      </c>
      <c r="F322" t="inlineStr">
        <is>
          <t>Public Tap Stand</t>
        </is>
      </c>
      <c r="G322" t="inlineStr">
        <is>
          <t>Water</t>
        </is>
      </c>
      <c r="H322" t="inlineStr">
        <is>
          <t>Iron</t>
        </is>
      </c>
      <c r="I322" t="n">
        <v>0.16</v>
      </c>
      <c r="J322" t="inlineStr">
        <is>
          <t>mg/L</t>
        </is>
      </c>
      <c r="K322" t="n">
        <v>0</v>
      </c>
      <c r="L322" t="n">
        <v>0.3</v>
      </c>
      <c r="M322" t="str">
        <f>IF(AND(I322&gt;=K322,I322&lt;=L322),"Yes","No")</f>
        <v>Yes</v>
      </c>
      <c r="N322" s="34">
        <f>IF(L322=0,"",I322/L322)</f>
        <v>0.5333333333</v>
      </c>
      <c r="O322" s="33" t="n">
        <v>750</v>
      </c>
      <c r="P322" t="inlineStr">
        <is>
          <t>C.H. Rennie Hospital</t>
        </is>
      </c>
      <c r="Q322" t="inlineStr">
        <is>
          <t>S. Dolo</t>
        </is>
      </c>
    </row>
    <row r="323">
      <c r="A323" t="inlineStr">
        <is>
          <t>WQ-2026-00320</t>
        </is>
      </c>
      <c r="B323" s="32" t="n">
        <v>46170</v>
      </c>
      <c r="C323" s="33">
        <f>MONTH(B323)</f>
        <v>5</v>
      </c>
      <c r="D323" t="inlineStr">
        <is>
          <t>Grand Cape Mount</t>
        </is>
      </c>
      <c r="E323" t="inlineStr">
        <is>
          <t>Tieni - Community Borehole</t>
        </is>
      </c>
      <c r="F323" t="inlineStr">
        <is>
          <t>Community Borehole</t>
        </is>
      </c>
      <c r="G323" t="inlineStr">
        <is>
          <t>Water</t>
        </is>
      </c>
      <c r="H323" t="inlineStr">
        <is>
          <t>Nitrate (as NO3)</t>
        </is>
      </c>
      <c r="I323" t="n">
        <v>3.8</v>
      </c>
      <c r="J323" t="inlineStr">
        <is>
          <t>mg/L</t>
        </is>
      </c>
      <c r="K323" t="n">
        <v>0</v>
      </c>
      <c r="L323" t="n">
        <v>10</v>
      </c>
      <c r="M323" t="str">
        <f>IF(AND(I323&gt;=K323,I323&lt;=L323),"Yes","No")</f>
        <v>Yes</v>
      </c>
      <c r="N323" s="34">
        <f>IF(L323=0,"",I323/L323)</f>
        <v>0.38</v>
      </c>
      <c r="O323" s="33" t="n">
        <v>4200</v>
      </c>
      <c r="P323" t="inlineStr">
        <is>
          <t>Sinje Health Center</t>
        </is>
      </c>
      <c r="Q323" t="inlineStr">
        <is>
          <t>S. Dolo</t>
        </is>
      </c>
    </row>
    <row r="324">
      <c r="A324" t="inlineStr">
        <is>
          <t>WQ-2026-00321</t>
        </is>
      </c>
      <c r="B324" s="32" t="n">
        <v>46146</v>
      </c>
      <c r="C324" s="33">
        <f>MONTH(B324)</f>
        <v>5</v>
      </c>
      <c r="D324" t="inlineStr">
        <is>
          <t>Margibi</t>
        </is>
      </c>
      <c r="E324" t="inlineStr">
        <is>
          <t>Dolo Town - Community Borehole</t>
        </is>
      </c>
      <c r="F324" t="inlineStr">
        <is>
          <t>Community Borehole</t>
        </is>
      </c>
      <c r="G324" t="inlineStr">
        <is>
          <t>Water</t>
        </is>
      </c>
      <c r="H324" t="inlineStr">
        <is>
          <t>Nitrate (as NO3)</t>
        </is>
      </c>
      <c r="I324" t="n">
        <v>0.2</v>
      </c>
      <c r="J324" t="inlineStr">
        <is>
          <t>mg/L</t>
        </is>
      </c>
      <c r="K324" t="n">
        <v>0</v>
      </c>
      <c r="L324" t="n">
        <v>10</v>
      </c>
      <c r="M324" t="str">
        <f>IF(AND(I324&gt;=K324,I324&lt;=L324),"Yes","No")</f>
        <v>Yes</v>
      </c>
      <c r="N324" s="34">
        <f>IF(L324=0,"",I324/L324)</f>
        <v>0.02</v>
      </c>
      <c r="O324" s="33" t="n">
        <v>900</v>
      </c>
      <c r="P324" t="inlineStr">
        <is>
          <t>C.H. Rennie Hospital</t>
        </is>
      </c>
      <c r="Q324" t="inlineStr">
        <is>
          <t>E. Sebo</t>
        </is>
      </c>
    </row>
    <row r="325">
      <c r="A325" t="inlineStr">
        <is>
          <t>WQ-2026-00322</t>
        </is>
      </c>
      <c r="B325" s="32" t="n">
        <v>46169</v>
      </c>
      <c r="C325" s="33">
        <f>MONTH(B325)</f>
        <v>5</v>
      </c>
      <c r="D325" t="inlineStr">
        <is>
          <t>Nimba</t>
        </is>
      </c>
      <c r="E325" t="inlineStr">
        <is>
          <t>Yekepa - School Water Point</t>
        </is>
      </c>
      <c r="F325" t="inlineStr">
        <is>
          <t>School Water Point</t>
        </is>
      </c>
      <c r="G325" t="inlineStr">
        <is>
          <t>Water</t>
        </is>
      </c>
      <c r="H325" t="inlineStr">
        <is>
          <t>Manganese</t>
        </is>
      </c>
      <c r="I325" t="n">
        <v>0.32</v>
      </c>
      <c r="J325" t="inlineStr">
        <is>
          <t>mg/L</t>
        </is>
      </c>
      <c r="K325" t="n">
        <v>0</v>
      </c>
      <c r="L325" t="n">
        <v>0.4</v>
      </c>
      <c r="M325" t="str">
        <f>IF(AND(I325&gt;=K325,I325&lt;=L325),"Yes","No")</f>
        <v>Yes</v>
      </c>
      <c r="N325" s="34">
        <f>IF(L325=0,"",I325/L325)</f>
        <v>0.8</v>
      </c>
      <c r="O325" s="33" t="n">
        <v>4200</v>
      </c>
      <c r="P325" t="inlineStr">
        <is>
          <t>Tappita Referral Hospital</t>
        </is>
      </c>
      <c r="Q325" t="inlineStr">
        <is>
          <t>E. Sebo</t>
        </is>
      </c>
    </row>
    <row r="326">
      <c r="A326" t="inlineStr">
        <is>
          <t>WQ-2026-00323</t>
        </is>
      </c>
      <c r="B326" s="32" t="n">
        <v>46157</v>
      </c>
      <c r="C326" s="33">
        <f>MONTH(B326)</f>
        <v>5</v>
      </c>
      <c r="D326" t="inlineStr">
        <is>
          <t>Montserrado</t>
        </is>
      </c>
      <c r="E326" t="inlineStr">
        <is>
          <t>Caldwell - Hand-Dug Well</t>
        </is>
      </c>
      <c r="F326" t="inlineStr">
        <is>
          <t>Hand-Dug Well</t>
        </is>
      </c>
      <c r="G326" t="inlineStr">
        <is>
          <t>Water</t>
        </is>
      </c>
      <c r="H326" t="inlineStr">
        <is>
          <t>Manganese</t>
        </is>
      </c>
      <c r="I326" t="n">
        <v>0.15</v>
      </c>
      <c r="J326" t="inlineStr">
        <is>
          <t>mg/L</t>
        </is>
      </c>
      <c r="K326" t="n">
        <v>0</v>
      </c>
      <c r="L326" t="n">
        <v>0.4</v>
      </c>
      <c r="M326" t="str">
        <f>IF(AND(I326&gt;=K326,I326&lt;=L326),"Yes","No")</f>
        <v>Yes</v>
      </c>
      <c r="N326" s="34">
        <f>IF(L326=0,"",I326/L326)</f>
        <v>0.375</v>
      </c>
      <c r="O326" s="33" t="n">
        <v>120</v>
      </c>
      <c r="P326" t="inlineStr">
        <is>
          <t>JFK Memorial Hospital</t>
        </is>
      </c>
      <c r="Q326" t="inlineStr">
        <is>
          <t>F. Gbato</t>
        </is>
      </c>
    </row>
    <row r="327">
      <c r="A327" t="inlineStr">
        <is>
          <t>AQ-2026-00324</t>
        </is>
      </c>
      <c r="B327" s="32" t="n">
        <v>46150</v>
      </c>
      <c r="C327" s="33">
        <f>MONTH(B327)</f>
        <v>5</v>
      </c>
      <c r="D327" t="inlineStr">
        <is>
          <t>Montserrado</t>
        </is>
      </c>
      <c r="E327" t="inlineStr">
        <is>
          <t>Caldwell - Dumpsite Perimeter</t>
        </is>
      </c>
      <c r="F327" t="inlineStr">
        <is>
          <t>Dumpsite Perimeter</t>
        </is>
      </c>
      <c r="G327" t="inlineStr">
        <is>
          <t>Air</t>
        </is>
      </c>
      <c r="H327" t="inlineStr">
        <is>
          <t>PM10</t>
        </is>
      </c>
      <c r="I327" t="n">
        <v>39.5</v>
      </c>
      <c r="J327" t="inlineStr">
        <is>
          <t>ug/m3</t>
        </is>
      </c>
      <c r="K327" t="n">
        <v>0</v>
      </c>
      <c r="L327" t="n">
        <v>50</v>
      </c>
      <c r="M327" t="str">
        <f>IF(AND(I327&gt;=K327,I327&lt;=L327),"Yes","No")</f>
        <v>Yes</v>
      </c>
      <c r="N327" s="34">
        <f>IF(L327=0,"",I327/L327)</f>
        <v>0.79</v>
      </c>
      <c r="O327" s="33" t="n">
        <v>0</v>
      </c>
      <c r="P327" t="inlineStr">
        <is>
          <t>Redemption Hospital</t>
        </is>
      </c>
      <c r="Q327" t="inlineStr">
        <is>
          <t>H. Zolia</t>
        </is>
      </c>
    </row>
    <row r="328">
      <c r="A328" t="inlineStr">
        <is>
          <t>WQ-2026-00325</t>
        </is>
      </c>
      <c r="B328" s="32" t="n">
        <v>46166</v>
      </c>
      <c r="C328" s="33">
        <f>MONTH(B328)</f>
        <v>5</v>
      </c>
      <c r="D328" t="inlineStr">
        <is>
          <t>Montserrado</t>
        </is>
      </c>
      <c r="E328" t="inlineStr">
        <is>
          <t>Gardnersville - Hand-Dug Well</t>
        </is>
      </c>
      <c r="F328" t="inlineStr">
        <is>
          <t>Hand-Dug Well</t>
        </is>
      </c>
      <c r="G328" t="inlineStr">
        <is>
          <t>Water</t>
        </is>
      </c>
      <c r="H328" t="inlineStr">
        <is>
          <t>Total Coliform</t>
        </is>
      </c>
      <c r="I328" t="n">
        <v>0</v>
      </c>
      <c r="J328" t="inlineStr">
        <is>
          <t>CFU/100 mL</t>
        </is>
      </c>
      <c r="K328" t="n">
        <v>0</v>
      </c>
      <c r="L328" t="n">
        <v>0</v>
      </c>
      <c r="M328" t="str">
        <f>IF(AND(I328&gt;=K328,I328&lt;=L328),"Yes","No")</f>
        <v>Yes</v>
      </c>
      <c r="N328" s="34">
        <f>IF(L328=0,"",I328/L328)</f>
        <v/>
      </c>
      <c r="O328" s="33" t="n">
        <v>1200</v>
      </c>
      <c r="P328" t="inlineStr">
        <is>
          <t>Redemption Hospital</t>
        </is>
      </c>
      <c r="Q328" t="inlineStr">
        <is>
          <t>B. Kpadeh</t>
        </is>
      </c>
    </row>
    <row r="329">
      <c r="A329" t="inlineStr">
        <is>
          <t>SL-2026-00326</t>
        </is>
      </c>
      <c r="B329" s="32" t="n">
        <v>46161</v>
      </c>
      <c r="C329" s="33">
        <f>MONTH(B329)</f>
        <v>5</v>
      </c>
      <c r="D329" t="inlineStr">
        <is>
          <t>Montserrado</t>
        </is>
      </c>
      <c r="E329" t="inlineStr">
        <is>
          <t>Gardnersville - School Grounds</t>
        </is>
      </c>
      <c r="F329" t="inlineStr">
        <is>
          <t>School Grounds</t>
        </is>
      </c>
      <c r="G329" t="inlineStr">
        <is>
          <t>Soil</t>
        </is>
      </c>
      <c r="H329" t="inlineStr">
        <is>
          <t>Lead</t>
        </is>
      </c>
      <c r="I329" t="n">
        <v>24</v>
      </c>
      <c r="J329" t="inlineStr">
        <is>
          <t>mg/kg</t>
        </is>
      </c>
      <c r="K329" t="n">
        <v>0</v>
      </c>
      <c r="L329" t="n">
        <v>100</v>
      </c>
      <c r="M329" t="str">
        <f>IF(AND(I329&gt;=K329,I329&lt;=L329),"Yes","No")</f>
        <v>Yes</v>
      </c>
      <c r="N329" s="34">
        <f>IF(L329=0,"",I329/L329)</f>
        <v>0.24</v>
      </c>
      <c r="O329" s="33" t="n">
        <v>0</v>
      </c>
      <c r="P329" t="inlineStr">
        <is>
          <t>JFK Memorial Hospital</t>
        </is>
      </c>
      <c r="Q329" t="inlineStr">
        <is>
          <t>P. Wleh</t>
        </is>
      </c>
    </row>
    <row r="330">
      <c r="A330" t="inlineStr">
        <is>
          <t>WQ-2026-00327</t>
        </is>
      </c>
      <c r="B330" s="32" t="n">
        <v>46146</v>
      </c>
      <c r="C330" s="33">
        <f>MONTH(B330)</f>
        <v>5</v>
      </c>
      <c r="D330" t="inlineStr">
        <is>
          <t>Montserrado</t>
        </is>
      </c>
      <c r="E330" t="inlineStr">
        <is>
          <t>West Point - Health Facility Supply</t>
        </is>
      </c>
      <c r="F330" t="inlineStr">
        <is>
          <t>Health Facility Supply</t>
        </is>
      </c>
      <c r="G330" t="inlineStr">
        <is>
          <t>Water</t>
        </is>
      </c>
      <c r="H330" t="inlineStr">
        <is>
          <t>Manganese</t>
        </is>
      </c>
      <c r="I330" t="n">
        <v>0.14</v>
      </c>
      <c r="J330" t="inlineStr">
        <is>
          <t>mg/L</t>
        </is>
      </c>
      <c r="K330" t="n">
        <v>0</v>
      </c>
      <c r="L330" t="n">
        <v>0.4</v>
      </c>
      <c r="M330" t="str">
        <f>IF(AND(I330&gt;=K330,I330&lt;=L330),"Yes","No")</f>
        <v>Yes</v>
      </c>
      <c r="N330" s="34">
        <f>IF(L330=0,"",I330/L330)</f>
        <v>0.35</v>
      </c>
      <c r="O330" s="33" t="n">
        <v>900</v>
      </c>
      <c r="P330" t="inlineStr">
        <is>
          <t>St. Joseph's Catholic Hospital</t>
        </is>
      </c>
      <c r="Q330" t="inlineStr">
        <is>
          <t>H. Zolia</t>
        </is>
      </c>
    </row>
    <row r="331">
      <c r="A331" t="inlineStr">
        <is>
          <t>SL-2026-00328</t>
        </is>
      </c>
      <c r="B331" s="32" t="n">
        <v>46161</v>
      </c>
      <c r="C331" s="33">
        <f>MONTH(B331)</f>
        <v>5</v>
      </c>
      <c r="D331" t="inlineStr">
        <is>
          <t>Grand Gedeh</t>
        </is>
      </c>
      <c r="E331" t="inlineStr">
        <is>
          <t>B'hai - Farmland</t>
        </is>
      </c>
      <c r="F331" t="inlineStr">
        <is>
          <t>Farmland</t>
        </is>
      </c>
      <c r="G331" t="inlineStr">
        <is>
          <t>Soil</t>
        </is>
      </c>
      <c r="H331" t="inlineStr">
        <is>
          <t>Lead</t>
        </is>
      </c>
      <c r="I331" t="n">
        <v>56</v>
      </c>
      <c r="J331" t="inlineStr">
        <is>
          <t>mg/kg</t>
        </is>
      </c>
      <c r="K331" t="n">
        <v>0</v>
      </c>
      <c r="L331" t="n">
        <v>100</v>
      </c>
      <c r="M331" t="str">
        <f>IF(AND(I331&gt;=K331,I331&lt;=L331),"Yes","No")</f>
        <v>Yes</v>
      </c>
      <c r="N331" s="34">
        <f>IF(L331=0,"",I331/L331)</f>
        <v>0.56</v>
      </c>
      <c r="O331" s="33" t="n">
        <v>0</v>
      </c>
      <c r="P331" t="inlineStr">
        <is>
          <t>Zwedru Health Center</t>
        </is>
      </c>
      <c r="Q331" t="inlineStr">
        <is>
          <t>P. Wleh</t>
        </is>
      </c>
    </row>
    <row r="332">
      <c r="A332" t="inlineStr">
        <is>
          <t>WQ-2026-00329</t>
        </is>
      </c>
      <c r="B332" s="32" t="n">
        <v>46143</v>
      </c>
      <c r="C332" s="33">
        <f>MONTH(B332)</f>
        <v>5</v>
      </c>
      <c r="D332" t="inlineStr">
        <is>
          <t>Grand Bassa</t>
        </is>
      </c>
      <c r="E332" t="inlineStr">
        <is>
          <t>St. John River - Health Facility Supply</t>
        </is>
      </c>
      <c r="F332" t="inlineStr">
        <is>
          <t>Health Facility Supply</t>
        </is>
      </c>
      <c r="G332" t="inlineStr">
        <is>
          <t>Water</t>
        </is>
      </c>
      <c r="H332" t="inlineStr">
        <is>
          <t>Total Coliform</t>
        </is>
      </c>
      <c r="I332" t="n">
        <v>0</v>
      </c>
      <c r="J332" t="inlineStr">
        <is>
          <t>CFU/100 mL</t>
        </is>
      </c>
      <c r="K332" t="n">
        <v>0</v>
      </c>
      <c r="L332" t="n">
        <v>0</v>
      </c>
      <c r="M332" t="str">
        <f>IF(AND(I332&gt;=K332,I332&lt;=L332),"Yes","No")</f>
        <v>Yes</v>
      </c>
      <c r="N332" s="34">
        <f>IF(L332=0,"",I332/L332)</f>
        <v/>
      </c>
      <c r="O332" s="33" t="n">
        <v>120</v>
      </c>
      <c r="P332" t="inlineStr">
        <is>
          <t>Edina Health Center</t>
        </is>
      </c>
      <c r="Q332" t="inlineStr">
        <is>
          <t>B. Kpadeh</t>
        </is>
      </c>
    </row>
    <row r="333">
      <c r="A333" t="inlineStr">
        <is>
          <t>SL-2026-00330</t>
        </is>
      </c>
      <c r="B333" s="32" t="n">
        <v>46159</v>
      </c>
      <c r="C333" s="33">
        <f>MONTH(B333)</f>
        <v>5</v>
      </c>
      <c r="D333" t="inlineStr">
        <is>
          <t>Bong</t>
        </is>
      </c>
      <c r="E333" t="inlineStr">
        <is>
          <t>Suakoko - Farmland</t>
        </is>
      </c>
      <c r="F333" t="inlineStr">
        <is>
          <t>Farmland</t>
        </is>
      </c>
      <c r="G333" t="inlineStr">
        <is>
          <t>Soil</t>
        </is>
      </c>
      <c r="H333" t="inlineStr">
        <is>
          <t>Cadmium</t>
        </is>
      </c>
      <c r="I333" t="n">
        <v>0.3</v>
      </c>
      <c r="J333" t="inlineStr">
        <is>
          <t>mg/kg</t>
        </is>
      </c>
      <c r="K333" t="n">
        <v>0</v>
      </c>
      <c r="L333" t="n">
        <v>3</v>
      </c>
      <c r="M333" t="str">
        <f>IF(AND(I333&gt;=K333,I333&lt;=L333),"Yes","No")</f>
        <v>Yes</v>
      </c>
      <c r="N333" s="34">
        <f>IF(L333=0,"",I333/L333)</f>
        <v>0.1</v>
      </c>
      <c r="O333" s="33" t="n">
        <v>0</v>
      </c>
      <c r="P333" t="inlineStr">
        <is>
          <t>Suakoko Clinic</t>
        </is>
      </c>
      <c r="Q333" t="inlineStr">
        <is>
          <t>T. Mulbah</t>
        </is>
      </c>
    </row>
    <row r="334">
      <c r="A334" t="inlineStr">
        <is>
          <t>WQ-2026-00331</t>
        </is>
      </c>
      <c r="B334" s="32" t="n">
        <v>46147</v>
      </c>
      <c r="C334" s="33">
        <f>MONTH(B334)</f>
        <v>5</v>
      </c>
      <c r="D334" t="inlineStr">
        <is>
          <t>Grand Bassa</t>
        </is>
      </c>
      <c r="E334" t="inlineStr">
        <is>
          <t>Edina - Health Facility Supply</t>
        </is>
      </c>
      <c r="F334" t="inlineStr">
        <is>
          <t>Health Facility Supply</t>
        </is>
      </c>
      <c r="G334" t="inlineStr">
        <is>
          <t>Water</t>
        </is>
      </c>
      <c r="H334" t="inlineStr">
        <is>
          <t>Iron</t>
        </is>
      </c>
      <c r="I334" t="n">
        <v>0.65</v>
      </c>
      <c r="J334" t="inlineStr">
        <is>
          <t>mg/L</t>
        </is>
      </c>
      <c r="K334" t="n">
        <v>0</v>
      </c>
      <c r="L334" t="n">
        <v>0.3</v>
      </c>
      <c r="M334" t="str">
        <f>IF(AND(I334&gt;=K334,I334&lt;=L334),"Yes","No")</f>
        <v>No</v>
      </c>
      <c r="N334" s="34">
        <f>IF(L334=0,"",I334/L334)</f>
        <v>2.1666666667</v>
      </c>
      <c r="O334" s="33" t="n">
        <v>900</v>
      </c>
      <c r="P334" t="inlineStr">
        <is>
          <t>Edina Health Center</t>
        </is>
      </c>
      <c r="Q334" t="inlineStr">
        <is>
          <t>P. Wleh</t>
        </is>
      </c>
    </row>
    <row r="335">
      <c r="A335" t="inlineStr">
        <is>
          <t>SL-2026-00332</t>
        </is>
      </c>
      <c r="B335" s="32" t="n">
        <v>46154</v>
      </c>
      <c r="C335" s="33">
        <f>MONTH(B335)</f>
        <v>5</v>
      </c>
      <c r="D335" t="inlineStr">
        <is>
          <t>Grand Bassa</t>
        </is>
      </c>
      <c r="E335" t="inlineStr">
        <is>
          <t>Bea Mountain Mining</t>
        </is>
      </c>
      <c r="F335" t="inlineStr">
        <is>
          <t>Industrial Perimeter</t>
        </is>
      </c>
      <c r="G335" t="inlineStr">
        <is>
          <t>Soil</t>
        </is>
      </c>
      <c r="H335" t="inlineStr">
        <is>
          <t>Cadmium</t>
        </is>
      </c>
      <c r="I335" t="n">
        <v>2.4</v>
      </c>
      <c r="J335" t="inlineStr">
        <is>
          <t>mg/kg</t>
        </is>
      </c>
      <c r="K335" t="n">
        <v>0</v>
      </c>
      <c r="L335" t="n">
        <v>3</v>
      </c>
      <c r="M335" t="str">
        <f>IF(AND(I335&gt;=K335,I335&lt;=L335),"Yes","No")</f>
        <v>Yes</v>
      </c>
      <c r="N335" s="34">
        <f>IF(L335=0,"",I335/L335)</f>
        <v>0.8</v>
      </c>
      <c r="O335" s="33" t="n">
        <v>2200</v>
      </c>
      <c r="P335" t="inlineStr">
        <is>
          <t>Edina Health Center</t>
        </is>
      </c>
      <c r="Q335" t="inlineStr">
        <is>
          <t>P. Wleh</t>
        </is>
      </c>
    </row>
    <row r="336">
      <c r="A336" t="inlineStr">
        <is>
          <t>WQ-2026-00333</t>
        </is>
      </c>
      <c r="B336" s="32" t="n">
        <v>46162</v>
      </c>
      <c r="C336" s="33">
        <f>MONTH(B336)</f>
        <v>5</v>
      </c>
      <c r="D336" t="inlineStr">
        <is>
          <t>Bong</t>
        </is>
      </c>
      <c r="E336" t="inlineStr">
        <is>
          <t>Gbarnga - School Water Point</t>
        </is>
      </c>
      <c r="F336" t="inlineStr">
        <is>
          <t>School Water Point</t>
        </is>
      </c>
      <c r="G336" t="inlineStr">
        <is>
          <t>Water</t>
        </is>
      </c>
      <c r="H336" t="inlineStr">
        <is>
          <t>Iron</t>
        </is>
      </c>
      <c r="I336" t="n">
        <v>0.2</v>
      </c>
      <c r="J336" t="inlineStr">
        <is>
          <t>mg/L</t>
        </is>
      </c>
      <c r="K336" t="n">
        <v>0</v>
      </c>
      <c r="L336" t="n">
        <v>0.3</v>
      </c>
      <c r="M336" t="str">
        <f>IF(AND(I336&gt;=K336,I336&lt;=L336),"Yes","No")</f>
        <v>Yes</v>
      </c>
      <c r="N336" s="34">
        <f>IF(L336=0,"",I336/L336)</f>
        <v>0.6666666667</v>
      </c>
      <c r="O336" s="33" t="n">
        <v>900</v>
      </c>
      <c r="P336" t="inlineStr">
        <is>
          <t>Gbarnga Health Center</t>
        </is>
      </c>
      <c r="Q336" t="inlineStr">
        <is>
          <t>J. Nyeman</t>
        </is>
      </c>
    </row>
    <row r="337">
      <c r="A337" t="inlineStr">
        <is>
          <t>WQ-2026-00334</t>
        </is>
      </c>
      <c r="B337" s="32" t="n">
        <v>46158</v>
      </c>
      <c r="C337" s="33">
        <f>MONTH(B337)</f>
        <v>5</v>
      </c>
      <c r="D337" t="inlineStr">
        <is>
          <t>Montserrado</t>
        </is>
      </c>
      <c r="E337" t="inlineStr">
        <is>
          <t>West Point - Health Facility Supply</t>
        </is>
      </c>
      <c r="F337" t="inlineStr">
        <is>
          <t>Health Facility Supply</t>
        </is>
      </c>
      <c r="G337" t="inlineStr">
        <is>
          <t>Water</t>
        </is>
      </c>
      <c r="H337" t="inlineStr">
        <is>
          <t>Lead</t>
        </is>
      </c>
      <c r="I337" t="n">
        <v>0.0005</v>
      </c>
      <c r="J337" t="inlineStr">
        <is>
          <t>mg/L</t>
        </is>
      </c>
      <c r="K337" t="n">
        <v>0</v>
      </c>
      <c r="L337" t="n">
        <v>0.01</v>
      </c>
      <c r="M337" t="str">
        <f>IF(AND(I337&gt;=K337,I337&lt;=L337),"Yes","No")</f>
        <v>Yes</v>
      </c>
      <c r="N337" s="34">
        <f>IF(L337=0,"",I337/L337)</f>
        <v>0.05</v>
      </c>
      <c r="O337" s="33" t="n">
        <v>1200</v>
      </c>
      <c r="P337" t="inlineStr">
        <is>
          <t>Redemption Hospital</t>
        </is>
      </c>
      <c r="Q337" t="inlineStr">
        <is>
          <t>M. Toe</t>
        </is>
      </c>
    </row>
    <row r="338">
      <c r="A338" t="inlineStr">
        <is>
          <t>WQ-2026-00335</t>
        </is>
      </c>
      <c r="B338" s="32" t="n">
        <v>46175</v>
      </c>
      <c r="C338" s="33">
        <f>MONTH(B338)</f>
        <v>6</v>
      </c>
      <c r="D338" t="inlineStr">
        <is>
          <t>Nimba</t>
        </is>
      </c>
      <c r="E338" t="inlineStr">
        <is>
          <t>Ganta - River / Stream Intake</t>
        </is>
      </c>
      <c r="F338" t="inlineStr">
        <is>
          <t>River / Stream Intake</t>
        </is>
      </c>
      <c r="G338" t="inlineStr">
        <is>
          <t>Water</t>
        </is>
      </c>
      <c r="H338" t="inlineStr">
        <is>
          <t>Turbidity</t>
        </is>
      </c>
      <c r="I338" t="n">
        <v>3.1</v>
      </c>
      <c r="J338" t="inlineStr">
        <is>
          <t>NTU</t>
        </is>
      </c>
      <c r="K338" t="n">
        <v>0</v>
      </c>
      <c r="L338" t="n">
        <v>5</v>
      </c>
      <c r="M338" t="str">
        <f>IF(AND(I338&gt;=K338,I338&lt;=L338),"Yes","No")</f>
        <v>Yes</v>
      </c>
      <c r="N338" s="34">
        <f>IF(L338=0,"",I338/L338)</f>
        <v>0.62</v>
      </c>
      <c r="O338" s="33" t="n">
        <v>240</v>
      </c>
      <c r="P338" t="inlineStr">
        <is>
          <t>Tappita Referral Hospital</t>
        </is>
      </c>
      <c r="Q338" t="inlineStr">
        <is>
          <t>J. Nyeman</t>
        </is>
      </c>
    </row>
    <row r="339">
      <c r="A339" t="inlineStr">
        <is>
          <t>WQ-2026-00336</t>
        </is>
      </c>
      <c r="B339" s="32" t="n">
        <v>46177</v>
      </c>
      <c r="C339" s="33">
        <f>MONTH(B339)</f>
        <v>6</v>
      </c>
      <c r="D339" t="inlineStr">
        <is>
          <t>Montserrado</t>
        </is>
      </c>
      <c r="E339" t="inlineStr">
        <is>
          <t>Johnsonville - Public Tap Stand</t>
        </is>
      </c>
      <c r="F339" t="inlineStr">
        <is>
          <t>Public Tap Stand</t>
        </is>
      </c>
      <c r="G339" t="inlineStr">
        <is>
          <t>Water</t>
        </is>
      </c>
      <c r="H339" t="inlineStr">
        <is>
          <t>Total Coliform</t>
        </is>
      </c>
      <c r="I339" t="n">
        <v>17</v>
      </c>
      <c r="J339" t="inlineStr">
        <is>
          <t>CFU/100 mL</t>
        </is>
      </c>
      <c r="K339" t="n">
        <v>0</v>
      </c>
      <c r="L339" t="n">
        <v>0</v>
      </c>
      <c r="M339" t="str">
        <f>IF(AND(I339&gt;=K339,I339&lt;=L339),"Yes","No")</f>
        <v>No</v>
      </c>
      <c r="N339" s="34">
        <f>IF(L339=0,"",I339/L339)</f>
        <v/>
      </c>
      <c r="O339" s="33" t="n">
        <v>1200</v>
      </c>
      <c r="P339" t="inlineStr">
        <is>
          <t>JFK Memorial Hospital</t>
        </is>
      </c>
      <c r="Q339" t="inlineStr">
        <is>
          <t>B. Kpadeh</t>
        </is>
      </c>
    </row>
    <row r="340">
      <c r="A340" t="inlineStr">
        <is>
          <t>WQ-2026-00337</t>
        </is>
      </c>
      <c r="B340" s="32" t="n">
        <v>46179</v>
      </c>
      <c r="C340" s="33">
        <f>MONTH(B340)</f>
        <v>6</v>
      </c>
      <c r="D340" t="inlineStr">
        <is>
          <t>Lofa</t>
        </is>
      </c>
      <c r="E340" t="inlineStr">
        <is>
          <t>Foya - Community Borehole</t>
        </is>
      </c>
      <c r="F340" t="inlineStr">
        <is>
          <t>Community Borehole</t>
        </is>
      </c>
      <c r="G340" t="inlineStr">
        <is>
          <t>Water</t>
        </is>
      </c>
      <c r="H340" t="inlineStr">
        <is>
          <t>Iron</t>
        </is>
      </c>
      <c r="I340" t="n">
        <v>0.05</v>
      </c>
      <c r="J340" t="inlineStr">
        <is>
          <t>mg/L</t>
        </is>
      </c>
      <c r="K340" t="n">
        <v>0</v>
      </c>
      <c r="L340" t="n">
        <v>0.3</v>
      </c>
      <c r="M340" t="str">
        <f>IF(AND(I340&gt;=K340,I340&lt;=L340),"Yes","No")</f>
        <v>Yes</v>
      </c>
      <c r="N340" s="34">
        <f>IF(L340=0,"",I340/L340)</f>
        <v>0.1666666667</v>
      </c>
      <c r="O340" s="33" t="n">
        <v>1200</v>
      </c>
      <c r="P340" t="inlineStr">
        <is>
          <t>Zorzor Hospital</t>
        </is>
      </c>
      <c r="Q340" t="inlineStr">
        <is>
          <t>P. Wleh</t>
        </is>
      </c>
    </row>
    <row r="341">
      <c r="A341" t="inlineStr">
        <is>
          <t>AQ-2026-00338</t>
        </is>
      </c>
      <c r="B341" s="32" t="n">
        <v>46196</v>
      </c>
      <c r="C341" s="33">
        <f>MONTH(B341)</f>
        <v>6</v>
      </c>
      <c r="D341" t="inlineStr">
        <is>
          <t>Maryland</t>
        </is>
      </c>
      <c r="E341" t="inlineStr">
        <is>
          <t>Harper - Dumpsite Perimeter</t>
        </is>
      </c>
      <c r="F341" t="inlineStr">
        <is>
          <t>Dumpsite Perimeter</t>
        </is>
      </c>
      <c r="G341" t="inlineStr">
        <is>
          <t>Air</t>
        </is>
      </c>
      <c r="H341" t="inlineStr">
        <is>
          <t>Nitrogen Dioxide (NO2)</t>
        </is>
      </c>
      <c r="I341" t="n">
        <v>36.6</v>
      </c>
      <c r="J341" t="inlineStr">
        <is>
          <t>ug/m3</t>
        </is>
      </c>
      <c r="K341" t="n">
        <v>0</v>
      </c>
      <c r="L341" t="n">
        <v>40</v>
      </c>
      <c r="M341" t="str">
        <f>IF(AND(I341&gt;=K341,I341&lt;=L341),"Yes","No")</f>
        <v>Yes</v>
      </c>
      <c r="N341" s="34">
        <f>IF(L341=0,"",I341/L341)</f>
        <v>0.915</v>
      </c>
      <c r="O341" s="33" t="n">
        <v>800</v>
      </c>
      <c r="P341" t="inlineStr">
        <is>
          <t>Harper Hospital</t>
        </is>
      </c>
      <c r="Q341" t="inlineStr">
        <is>
          <t>B. Kpadeh</t>
        </is>
      </c>
    </row>
    <row r="342">
      <c r="A342" t="inlineStr">
        <is>
          <t>AQ-2026-00339</t>
        </is>
      </c>
      <c r="B342" s="32" t="n">
        <v>46187</v>
      </c>
      <c r="C342" s="33">
        <f>MONTH(B342)</f>
        <v>6</v>
      </c>
      <c r="D342" t="inlineStr">
        <is>
          <t>Montserrado</t>
        </is>
      </c>
      <c r="E342" t="inlineStr">
        <is>
          <t>Paynesville - Dumpsite Perimeter</t>
        </is>
      </c>
      <c r="F342" t="inlineStr">
        <is>
          <t>Dumpsite Perimeter</t>
        </is>
      </c>
      <c r="G342" t="inlineStr">
        <is>
          <t>Air</t>
        </is>
      </c>
      <c r="H342" t="inlineStr">
        <is>
          <t>Sulphur Dioxide (SO2)</t>
        </is>
      </c>
      <c r="I342" t="n">
        <v>61</v>
      </c>
      <c r="J342" t="inlineStr">
        <is>
          <t>ug/m3</t>
        </is>
      </c>
      <c r="K342" t="n">
        <v>0</v>
      </c>
      <c r="L342" t="n">
        <v>125</v>
      </c>
      <c r="M342" t="str">
        <f>IF(AND(I342&gt;=K342,I342&lt;=L342),"Yes","No")</f>
        <v>Yes</v>
      </c>
      <c r="N342" s="34">
        <f>IF(L342=0,"",I342/L342)</f>
        <v>0.488</v>
      </c>
      <c r="O342" s="33" t="n">
        <v>450</v>
      </c>
      <c r="P342" t="inlineStr">
        <is>
          <t>Redemption Hospital</t>
        </is>
      </c>
      <c r="Q342" t="inlineStr">
        <is>
          <t>J. Nyeman</t>
        </is>
      </c>
    </row>
    <row r="343">
      <c r="A343" t="inlineStr">
        <is>
          <t>WQ-2026-00340</t>
        </is>
      </c>
      <c r="B343" s="32" t="n">
        <v>46194</v>
      </c>
      <c r="C343" s="33">
        <f>MONTH(B343)</f>
        <v>6</v>
      </c>
      <c r="D343" t="inlineStr">
        <is>
          <t>Grand Cape Mount</t>
        </is>
      </c>
      <c r="E343" t="inlineStr">
        <is>
          <t>Tieni - Hand-Dug Well</t>
        </is>
      </c>
      <c r="F343" t="inlineStr">
        <is>
          <t>Hand-Dug Well</t>
        </is>
      </c>
      <c r="G343" t="inlineStr">
        <is>
          <t>Water</t>
        </is>
      </c>
      <c r="H343" t="inlineStr">
        <is>
          <t>Nitrate (as NO3)</t>
        </is>
      </c>
      <c r="I343" t="n">
        <v>8.699999999999999</v>
      </c>
      <c r="J343" t="inlineStr">
        <is>
          <t>mg/L</t>
        </is>
      </c>
      <c r="K343" t="n">
        <v>0</v>
      </c>
      <c r="L343" t="n">
        <v>10</v>
      </c>
      <c r="M343" t="str">
        <f>IF(AND(I343&gt;=K343,I343&lt;=L343),"Yes","No")</f>
        <v>Yes</v>
      </c>
      <c r="N343" s="34">
        <f>IF(L343=0,"",I343/L343)</f>
        <v>0.87</v>
      </c>
      <c r="O343" s="33" t="n">
        <v>2500</v>
      </c>
      <c r="P343" t="inlineStr">
        <is>
          <t>St. Timothy Hospital</t>
        </is>
      </c>
      <c r="Q343" t="inlineStr">
        <is>
          <t>F. Gbato</t>
        </is>
      </c>
    </row>
    <row r="344">
      <c r="A344" t="inlineStr">
        <is>
          <t>AQ-2026-00341</t>
        </is>
      </c>
      <c r="B344" s="32" t="n">
        <v>46180</v>
      </c>
      <c r="C344" s="33">
        <f>MONTH(B344)</f>
        <v>6</v>
      </c>
      <c r="D344" t="inlineStr">
        <is>
          <t>Montserrado</t>
        </is>
      </c>
      <c r="E344" t="inlineStr">
        <is>
          <t>Johnsonville - Urban Roadside</t>
        </is>
      </c>
      <c r="F344" t="inlineStr">
        <is>
          <t>Urban Roadside</t>
        </is>
      </c>
      <c r="G344" t="inlineStr">
        <is>
          <t>Air</t>
        </is>
      </c>
      <c r="H344" t="inlineStr">
        <is>
          <t>Sulphur Dioxide (SO2)</t>
        </is>
      </c>
      <c r="I344" t="n">
        <v>94</v>
      </c>
      <c r="J344" t="inlineStr">
        <is>
          <t>ug/m3</t>
        </is>
      </c>
      <c r="K344" t="n">
        <v>0</v>
      </c>
      <c r="L344" t="n">
        <v>125</v>
      </c>
      <c r="M344" t="str">
        <f>IF(AND(I344&gt;=K344,I344&lt;=L344),"Yes","No")</f>
        <v>Yes</v>
      </c>
      <c r="N344" s="34">
        <f>IF(L344=0,"",I344/L344)</f>
        <v>0.752</v>
      </c>
      <c r="O344" s="33" t="n">
        <v>2200</v>
      </c>
      <c r="P344" t="inlineStr">
        <is>
          <t>Benson Hospital</t>
        </is>
      </c>
      <c r="Q344" t="inlineStr">
        <is>
          <t>A. Kollie</t>
        </is>
      </c>
    </row>
    <row r="345">
      <c r="A345" t="inlineStr">
        <is>
          <t>WQ-2026-00342</t>
        </is>
      </c>
      <c r="B345" s="32" t="n">
        <v>46179</v>
      </c>
      <c r="C345" s="33">
        <f>MONTH(B345)</f>
        <v>6</v>
      </c>
      <c r="D345" t="inlineStr">
        <is>
          <t>Grand Gedeh</t>
        </is>
      </c>
      <c r="E345" t="inlineStr">
        <is>
          <t>Toe Town - Public Tap Stand</t>
        </is>
      </c>
      <c r="F345" t="inlineStr">
        <is>
          <t>Public Tap Stand</t>
        </is>
      </c>
      <c r="G345" t="inlineStr">
        <is>
          <t>Water</t>
        </is>
      </c>
      <c r="H345" t="inlineStr">
        <is>
          <t>E. coli</t>
        </is>
      </c>
      <c r="I345" t="n">
        <v>0</v>
      </c>
      <c r="J345" t="inlineStr">
        <is>
          <t>CFU/100 mL</t>
        </is>
      </c>
      <c r="K345" t="n">
        <v>0</v>
      </c>
      <c r="L345" t="n">
        <v>0</v>
      </c>
      <c r="M345" t="str">
        <f>IF(AND(I345&gt;=K345,I345&lt;=L345),"Yes","No")</f>
        <v>Yes</v>
      </c>
      <c r="N345" s="34">
        <f>IF(L345=0,"",I345/L345)</f>
        <v/>
      </c>
      <c r="O345" s="33" t="n">
        <v>240</v>
      </c>
      <c r="P345" t="inlineStr">
        <is>
          <t>Zwedru Health Center</t>
        </is>
      </c>
      <c r="Q345" t="inlineStr">
        <is>
          <t>H. Zolia</t>
        </is>
      </c>
    </row>
    <row r="346">
      <c r="A346" t="inlineStr">
        <is>
          <t>WQ-2026-00343</t>
        </is>
      </c>
      <c r="B346" s="32" t="n">
        <v>46197</v>
      </c>
      <c r="C346" s="33">
        <f>MONTH(B346)</f>
        <v>6</v>
      </c>
      <c r="D346" t="inlineStr">
        <is>
          <t>Lofa</t>
        </is>
      </c>
      <c r="E346" t="inlineStr">
        <is>
          <t>Zorzor - Health Facility Supply</t>
        </is>
      </c>
      <c r="F346" t="inlineStr">
        <is>
          <t>Health Facility Supply</t>
        </is>
      </c>
      <c r="G346" t="inlineStr">
        <is>
          <t>Water</t>
        </is>
      </c>
      <c r="H346" t="inlineStr">
        <is>
          <t>Manganese</t>
        </is>
      </c>
      <c r="I346" t="n">
        <v>0.01</v>
      </c>
      <c r="J346" t="inlineStr">
        <is>
          <t>mg/L</t>
        </is>
      </c>
      <c r="K346" t="n">
        <v>0</v>
      </c>
      <c r="L346" t="n">
        <v>0.4</v>
      </c>
      <c r="M346" t="str">
        <f>IF(AND(I346&gt;=K346,I346&lt;=L346),"Yes","No")</f>
        <v>Yes</v>
      </c>
      <c r="N346" s="34">
        <f>IF(L346=0,"",I346/L346)</f>
        <v>0.025</v>
      </c>
      <c r="O346" s="33" t="n">
        <v>900</v>
      </c>
      <c r="P346" t="inlineStr">
        <is>
          <t>Foya Health Center</t>
        </is>
      </c>
      <c r="Q346" t="inlineStr">
        <is>
          <t>M. Toe</t>
        </is>
      </c>
    </row>
    <row r="347">
      <c r="A347" t="inlineStr">
        <is>
          <t>SL-2026-00344</t>
        </is>
      </c>
      <c r="B347" s="32" t="n">
        <v>46194</v>
      </c>
      <c r="C347" s="33">
        <f>MONTH(B347)</f>
        <v>6</v>
      </c>
      <c r="D347" t="inlineStr">
        <is>
          <t>Lofa</t>
        </is>
      </c>
      <c r="E347" t="inlineStr">
        <is>
          <t>Foya - Industrial Site</t>
        </is>
      </c>
      <c r="F347" t="inlineStr">
        <is>
          <t>Industrial Site</t>
        </is>
      </c>
      <c r="G347" t="inlineStr">
        <is>
          <t>Soil</t>
        </is>
      </c>
      <c r="H347" t="inlineStr">
        <is>
          <t>Arsenic</t>
        </is>
      </c>
      <c r="I347" t="n">
        <v>3.1</v>
      </c>
      <c r="J347" t="inlineStr">
        <is>
          <t>mg/kg</t>
        </is>
      </c>
      <c r="K347" t="n">
        <v>0</v>
      </c>
      <c r="L347" t="n">
        <v>20</v>
      </c>
      <c r="M347" t="str">
        <f>IF(AND(I347&gt;=K347,I347&lt;=L347),"Yes","No")</f>
        <v>Yes</v>
      </c>
      <c r="N347" s="34">
        <f>IF(L347=0,"",I347/L347)</f>
        <v>0.155</v>
      </c>
      <c r="O347" s="33" t="n">
        <v>1500</v>
      </c>
      <c r="P347" t="inlineStr">
        <is>
          <t>Zorzor Hospital</t>
        </is>
      </c>
      <c r="Q347" t="inlineStr">
        <is>
          <t>J. Nyeman</t>
        </is>
      </c>
    </row>
    <row r="348">
      <c r="A348" t="inlineStr">
        <is>
          <t>WQ-2026-00345</t>
        </is>
      </c>
      <c r="B348" s="32" t="n">
        <v>46185</v>
      </c>
      <c r="C348" s="33">
        <f>MONTH(B348)</f>
        <v>6</v>
      </c>
      <c r="D348" t="inlineStr">
        <is>
          <t>Bong</t>
        </is>
      </c>
      <c r="E348" t="inlineStr">
        <is>
          <t>Suakoko - River / Stream Intake</t>
        </is>
      </c>
      <c r="F348" t="inlineStr">
        <is>
          <t>River / Stream Intake</t>
        </is>
      </c>
      <c r="G348" t="inlineStr">
        <is>
          <t>Water</t>
        </is>
      </c>
      <c r="H348" t="inlineStr">
        <is>
          <t>E. coli</t>
        </is>
      </c>
      <c r="I348" t="n">
        <v>0</v>
      </c>
      <c r="J348" t="inlineStr">
        <is>
          <t>CFU/100 mL</t>
        </is>
      </c>
      <c r="K348" t="n">
        <v>0</v>
      </c>
      <c r="L348" t="n">
        <v>0</v>
      </c>
      <c r="M348" t="str">
        <f>IF(AND(I348&gt;=K348,I348&lt;=L348),"Yes","No")</f>
        <v>Yes</v>
      </c>
      <c r="N348" s="34">
        <f>IF(L348=0,"",I348/L348)</f>
        <v/>
      </c>
      <c r="O348" s="33" t="n">
        <v>4200</v>
      </c>
      <c r="P348" t="inlineStr">
        <is>
          <t>Suakoko Clinic</t>
        </is>
      </c>
      <c r="Q348" t="inlineStr">
        <is>
          <t>J. Nyeman</t>
        </is>
      </c>
    </row>
    <row r="349">
      <c r="A349" t="inlineStr">
        <is>
          <t>SL-2026-00346</t>
        </is>
      </c>
      <c r="B349" s="32" t="n">
        <v>46180</v>
      </c>
      <c r="C349" s="33">
        <f>MONTH(B349)</f>
        <v>6</v>
      </c>
      <c r="D349" t="inlineStr">
        <is>
          <t>Nimba</t>
        </is>
      </c>
      <c r="E349" t="inlineStr">
        <is>
          <t>Golden Veroleum Palm Oil</t>
        </is>
      </c>
      <c r="F349" t="inlineStr">
        <is>
          <t>Industrial Perimeter</t>
        </is>
      </c>
      <c r="G349" t="inlineStr">
        <is>
          <t>Soil</t>
        </is>
      </c>
      <c r="H349" t="inlineStr">
        <is>
          <t>Mercury</t>
        </is>
      </c>
      <c r="I349" t="n">
        <v>1.2</v>
      </c>
      <c r="J349" t="inlineStr">
        <is>
          <t>mg/kg</t>
        </is>
      </c>
      <c r="K349" t="n">
        <v>0</v>
      </c>
      <c r="L349" t="n">
        <v>1</v>
      </c>
      <c r="M349" t="str">
        <f>IF(AND(I349&gt;=K349,I349&lt;=L349),"Yes","No")</f>
        <v>No</v>
      </c>
      <c r="N349" s="34">
        <f>IF(L349=0,"",I349/L349)</f>
        <v>1.2</v>
      </c>
      <c r="O349" s="33" t="n">
        <v>2200</v>
      </c>
      <c r="P349" t="inlineStr">
        <is>
          <t>Tappita Referral Hospital</t>
        </is>
      </c>
      <c r="Q349" t="inlineStr">
        <is>
          <t>J. Nyeman</t>
        </is>
      </c>
    </row>
    <row r="350">
      <c r="A350" t="inlineStr">
        <is>
          <t>WQ-2026-00347</t>
        </is>
      </c>
      <c r="B350" s="32" t="n">
        <v>46174</v>
      </c>
      <c r="C350" s="33">
        <f>MONTH(B350)</f>
        <v>6</v>
      </c>
      <c r="D350" t="inlineStr">
        <is>
          <t>Montserrado</t>
        </is>
      </c>
      <c r="E350" t="inlineStr">
        <is>
          <t>Caldwell - River / Stream Intake</t>
        </is>
      </c>
      <c r="F350" t="inlineStr">
        <is>
          <t>River / Stream Intake</t>
        </is>
      </c>
      <c r="G350" t="inlineStr">
        <is>
          <t>Water</t>
        </is>
      </c>
      <c r="H350" t="inlineStr">
        <is>
          <t>Arsenic</t>
        </is>
      </c>
      <c r="I350" t="n">
        <v>0.0041</v>
      </c>
      <c r="J350" t="inlineStr">
        <is>
          <t>mg/L</t>
        </is>
      </c>
      <c r="K350" t="n">
        <v>0</v>
      </c>
      <c r="L350" t="n">
        <v>0.01</v>
      </c>
      <c r="M350" t="str">
        <f>IF(AND(I350&gt;=K350,I350&lt;=L350),"Yes","No")</f>
        <v>Yes</v>
      </c>
      <c r="N350" s="34">
        <f>IF(L350=0,"",I350/L350)</f>
        <v>0.41</v>
      </c>
      <c r="O350" s="33" t="n">
        <v>4200</v>
      </c>
      <c r="P350" t="inlineStr">
        <is>
          <t>St. Joseph's Catholic Hospital</t>
        </is>
      </c>
      <c r="Q350" t="inlineStr">
        <is>
          <t>J. Nyeman</t>
        </is>
      </c>
    </row>
    <row r="351">
      <c r="A351" t="inlineStr">
        <is>
          <t>WQ-2026-00348</t>
        </is>
      </c>
      <c r="B351" s="32" t="n">
        <v>46189</v>
      </c>
      <c r="C351" s="33">
        <f>MONTH(B351)</f>
        <v>6</v>
      </c>
      <c r="D351" t="inlineStr">
        <is>
          <t>Sinoe</t>
        </is>
      </c>
      <c r="E351" t="inlineStr">
        <is>
          <t>Butaw - Health Facility Supply</t>
        </is>
      </c>
      <c r="F351" t="inlineStr">
        <is>
          <t>Health Facility Supply</t>
        </is>
      </c>
      <c r="G351" t="inlineStr">
        <is>
          <t>Water</t>
        </is>
      </c>
      <c r="H351" t="inlineStr">
        <is>
          <t>Nitrate (as NO3)</t>
        </is>
      </c>
      <c r="I351" t="n">
        <v>33.4</v>
      </c>
      <c r="J351" t="inlineStr">
        <is>
          <t>mg/L</t>
        </is>
      </c>
      <c r="K351" t="n">
        <v>0</v>
      </c>
      <c r="L351" t="n">
        <v>10</v>
      </c>
      <c r="M351" t="str">
        <f>IF(AND(I351&gt;=K351,I351&lt;=L351),"Yes","No")</f>
        <v>No</v>
      </c>
      <c r="N351" s="34">
        <f>IF(L351=0,"",I351/L351)</f>
        <v>3.34</v>
      </c>
      <c r="O351" s="33" t="n">
        <v>750</v>
      </c>
      <c r="P351" t="inlineStr">
        <is>
          <t>F.J. Grante Hospital</t>
        </is>
      </c>
      <c r="Q351" t="inlineStr">
        <is>
          <t>T. Mulbah</t>
        </is>
      </c>
    </row>
    <row r="352">
      <c r="A352" t="inlineStr">
        <is>
          <t>SL-2026-00349</t>
        </is>
      </c>
      <c r="B352" s="32" t="n">
        <v>46189</v>
      </c>
      <c r="C352" s="33">
        <f>MONTH(B352)</f>
        <v>6</v>
      </c>
      <c r="D352" t="inlineStr">
        <is>
          <t>Grand Gedeh</t>
        </is>
      </c>
      <c r="E352" t="inlineStr">
        <is>
          <t>Toe Town - Playground</t>
        </is>
      </c>
      <c r="F352" t="inlineStr">
        <is>
          <t>Playground</t>
        </is>
      </c>
      <c r="G352" t="inlineStr">
        <is>
          <t>Soil</t>
        </is>
      </c>
      <c r="H352" t="inlineStr">
        <is>
          <t>Mercury</t>
        </is>
      </c>
      <c r="I352" t="n">
        <v>0.5</v>
      </c>
      <c r="J352" t="inlineStr">
        <is>
          <t>mg/kg</t>
        </is>
      </c>
      <c r="K352" t="n">
        <v>0</v>
      </c>
      <c r="L352" t="n">
        <v>1</v>
      </c>
      <c r="M352" t="str">
        <f>IF(AND(I352&gt;=K352,I352&lt;=L352),"Yes","No")</f>
        <v>Yes</v>
      </c>
      <c r="N352" s="34">
        <f>IF(L352=0,"",I352/L352)</f>
        <v>0.5</v>
      </c>
      <c r="O352" s="33" t="n">
        <v>0</v>
      </c>
      <c r="P352" t="inlineStr">
        <is>
          <t>Martha Tubman Memorial Hospital</t>
        </is>
      </c>
      <c r="Q352" t="inlineStr">
        <is>
          <t>J. Nyeman</t>
        </is>
      </c>
    </row>
    <row r="353">
      <c r="A353" t="inlineStr">
        <is>
          <t>WQ-2026-00350</t>
        </is>
      </c>
      <c r="B353" s="32" t="n">
        <v>46183</v>
      </c>
      <c r="C353" s="33">
        <f>MONTH(B353)</f>
        <v>6</v>
      </c>
      <c r="D353" t="inlineStr">
        <is>
          <t>Bong</t>
        </is>
      </c>
      <c r="E353" t="inlineStr">
        <is>
          <t>Palala - Health Facility Supply</t>
        </is>
      </c>
      <c r="F353" t="inlineStr">
        <is>
          <t>Health Facility Supply</t>
        </is>
      </c>
      <c r="G353" t="inlineStr">
        <is>
          <t>Water</t>
        </is>
      </c>
      <c r="H353" t="inlineStr">
        <is>
          <t>Lead</t>
        </is>
      </c>
      <c r="I353" t="n">
        <v>0.0325</v>
      </c>
      <c r="J353" t="inlineStr">
        <is>
          <t>mg/L</t>
        </is>
      </c>
      <c r="K353" t="n">
        <v>0</v>
      </c>
      <c r="L353" t="n">
        <v>0.01</v>
      </c>
      <c r="M353" t="str">
        <f>IF(AND(I353&gt;=K353,I353&lt;=L353),"Yes","No")</f>
        <v>No</v>
      </c>
      <c r="N353" s="34">
        <f>IF(L353=0,"",I353/L353)</f>
        <v>3.25</v>
      </c>
      <c r="O353" s="33" t="n">
        <v>750</v>
      </c>
      <c r="P353" t="inlineStr">
        <is>
          <t>Phebe Hospital</t>
        </is>
      </c>
      <c r="Q353" t="inlineStr">
        <is>
          <t>J. Nyeman</t>
        </is>
      </c>
    </row>
    <row r="354">
      <c r="A354" t="inlineStr">
        <is>
          <t>WQ-2026-00351</t>
        </is>
      </c>
      <c r="B354" s="32" t="n">
        <v>46195</v>
      </c>
      <c r="C354" s="33">
        <f>MONTH(B354)</f>
        <v>6</v>
      </c>
      <c r="D354" t="inlineStr">
        <is>
          <t>Nimba</t>
        </is>
      </c>
      <c r="E354" t="inlineStr">
        <is>
          <t>Butuo - School Water Point</t>
        </is>
      </c>
      <c r="F354" t="inlineStr">
        <is>
          <t>School Water Point</t>
        </is>
      </c>
      <c r="G354" t="inlineStr">
        <is>
          <t>Water</t>
        </is>
      </c>
      <c r="H354" t="inlineStr">
        <is>
          <t>Turbidity</t>
        </is>
      </c>
      <c r="I354" t="n">
        <v>3.4</v>
      </c>
      <c r="J354" t="inlineStr">
        <is>
          <t>NTU</t>
        </is>
      </c>
      <c r="K354" t="n">
        <v>0</v>
      </c>
      <c r="L354" t="n">
        <v>5</v>
      </c>
      <c r="M354" t="str">
        <f>IF(AND(I354&gt;=K354,I354&lt;=L354),"Yes","No")</f>
        <v>Yes</v>
      </c>
      <c r="N354" s="34">
        <f>IF(L354=0,"",I354/L354)</f>
        <v>0.68</v>
      </c>
      <c r="O354" s="33" t="n">
        <v>120</v>
      </c>
      <c r="P354" t="inlineStr">
        <is>
          <t>Saclepea Health Center</t>
        </is>
      </c>
      <c r="Q354" t="inlineStr">
        <is>
          <t>H. Zolia</t>
        </is>
      </c>
    </row>
    <row r="355">
      <c r="A355" t="inlineStr">
        <is>
          <t>WQ-2026-00352</t>
        </is>
      </c>
      <c r="B355" s="32" t="n">
        <v>46200</v>
      </c>
      <c r="C355" s="33">
        <f>MONTH(B355)</f>
        <v>6</v>
      </c>
      <c r="D355" t="inlineStr">
        <is>
          <t>Montserrado</t>
        </is>
      </c>
      <c r="E355" t="inlineStr">
        <is>
          <t>Caldwell - River / Stream Intake</t>
        </is>
      </c>
      <c r="F355" t="inlineStr">
        <is>
          <t>River / Stream Intake</t>
        </is>
      </c>
      <c r="G355" t="inlineStr">
        <is>
          <t>Water</t>
        </is>
      </c>
      <c r="H355" t="inlineStr">
        <is>
          <t>Iron</t>
        </is>
      </c>
      <c r="I355" t="n">
        <v>0.68</v>
      </c>
      <c r="J355" t="inlineStr">
        <is>
          <t>mg/L</t>
        </is>
      </c>
      <c r="K355" t="n">
        <v>0</v>
      </c>
      <c r="L355" t="n">
        <v>0.3</v>
      </c>
      <c r="M355" t="str">
        <f>IF(AND(I355&gt;=K355,I355&lt;=L355),"Yes","No")</f>
        <v>No</v>
      </c>
      <c r="N355" s="34">
        <f>IF(L355=0,"",I355/L355)</f>
        <v>2.2666666667</v>
      </c>
      <c r="O355" s="33" t="n">
        <v>500</v>
      </c>
      <c r="P355" t="inlineStr">
        <is>
          <t>Redemption Hospital</t>
        </is>
      </c>
      <c r="Q355" t="inlineStr">
        <is>
          <t>M. Toe</t>
        </is>
      </c>
    </row>
    <row r="356">
      <c r="A356" t="inlineStr">
        <is>
          <t>WQ-2026-00353</t>
        </is>
      </c>
      <c r="B356" s="32" t="n">
        <v>46203</v>
      </c>
      <c r="C356" s="33">
        <f>MONTH(B356)</f>
        <v>6</v>
      </c>
      <c r="D356" t="inlineStr">
        <is>
          <t>Margibi</t>
        </is>
      </c>
      <c r="E356" t="inlineStr">
        <is>
          <t>Weala - River / Stream Intake</t>
        </is>
      </c>
      <c r="F356" t="inlineStr">
        <is>
          <t>River / Stream Intake</t>
        </is>
      </c>
      <c r="G356" t="inlineStr">
        <is>
          <t>Water</t>
        </is>
      </c>
      <c r="H356" t="inlineStr">
        <is>
          <t>Manganese</t>
        </is>
      </c>
      <c r="I356" t="n">
        <v>0.1</v>
      </c>
      <c r="J356" t="inlineStr">
        <is>
          <t>mg/L</t>
        </is>
      </c>
      <c r="K356" t="n">
        <v>0</v>
      </c>
      <c r="L356" t="n">
        <v>0.4</v>
      </c>
      <c r="M356" t="str">
        <f>IF(AND(I356&gt;=K356,I356&lt;=L356),"Yes","No")</f>
        <v>Yes</v>
      </c>
      <c r="N356" s="34">
        <f>IF(L356=0,"",I356/L356)</f>
        <v>0.25</v>
      </c>
      <c r="O356" s="33" t="n">
        <v>240</v>
      </c>
      <c r="P356" t="inlineStr">
        <is>
          <t>C.H. Rennie Hospital</t>
        </is>
      </c>
      <c r="Q356" t="inlineStr">
        <is>
          <t>F. Gbato</t>
        </is>
      </c>
    </row>
    <row r="357">
      <c r="A357" t="inlineStr">
        <is>
          <t>SL-2026-00354</t>
        </is>
      </c>
      <c r="B357" s="32" t="n">
        <v>46178</v>
      </c>
      <c r="C357" s="33">
        <f>MONTH(B357)</f>
        <v>6</v>
      </c>
      <c r="D357" t="inlineStr">
        <is>
          <t>Montserrado</t>
        </is>
      </c>
      <c r="E357" t="inlineStr">
        <is>
          <t>Brewerville - School Grounds</t>
        </is>
      </c>
      <c r="F357" t="inlineStr">
        <is>
          <t>School Grounds</t>
        </is>
      </c>
      <c r="G357" t="inlineStr">
        <is>
          <t>Soil</t>
        </is>
      </c>
      <c r="H357" t="inlineStr">
        <is>
          <t>Arsenic</t>
        </is>
      </c>
      <c r="I357" t="n">
        <v>26.5</v>
      </c>
      <c r="J357" t="inlineStr">
        <is>
          <t>mg/kg</t>
        </is>
      </c>
      <c r="K357" t="n">
        <v>0</v>
      </c>
      <c r="L357" t="n">
        <v>20</v>
      </c>
      <c r="M357" t="str">
        <f>IF(AND(I357&gt;=K357,I357&lt;=L357),"Yes","No")</f>
        <v>No</v>
      </c>
      <c r="N357" s="34">
        <f>IF(L357=0,"",I357/L357)</f>
        <v>1.325</v>
      </c>
      <c r="O357" s="33" t="n">
        <v>6000</v>
      </c>
      <c r="P357" t="inlineStr">
        <is>
          <t>St. Joseph's Catholic Hospital</t>
        </is>
      </c>
      <c r="Q357" t="inlineStr">
        <is>
          <t>J. Nyeman</t>
        </is>
      </c>
    </row>
    <row r="358">
      <c r="A358" t="inlineStr">
        <is>
          <t>SL-2026-00355</t>
        </is>
      </c>
      <c r="B358" s="32" t="n">
        <v>46181</v>
      </c>
      <c r="C358" s="33">
        <f>MONTH(B358)</f>
        <v>6</v>
      </c>
      <c r="D358" t="inlineStr">
        <is>
          <t>Maryland</t>
        </is>
      </c>
      <c r="E358" t="inlineStr">
        <is>
          <t>Pleebo - School Grounds</t>
        </is>
      </c>
      <c r="F358" t="inlineStr">
        <is>
          <t>School Grounds</t>
        </is>
      </c>
      <c r="G358" t="inlineStr">
        <is>
          <t>Soil</t>
        </is>
      </c>
      <c r="H358" t="inlineStr">
        <is>
          <t>Mercury</t>
        </is>
      </c>
      <c r="I358" t="n">
        <v>0.8</v>
      </c>
      <c r="J358" t="inlineStr">
        <is>
          <t>mg/kg</t>
        </is>
      </c>
      <c r="K358" t="n">
        <v>0</v>
      </c>
      <c r="L358" t="n">
        <v>1</v>
      </c>
      <c r="M358" t="str">
        <f>IF(AND(I358&gt;=K358,I358&lt;=L358),"Yes","No")</f>
        <v>Yes</v>
      </c>
      <c r="N358" s="34">
        <f>IF(L358=0,"",I358/L358)</f>
        <v>0.8</v>
      </c>
      <c r="O358" s="33" t="n">
        <v>800</v>
      </c>
      <c r="P358" t="inlineStr">
        <is>
          <t>Harper Hospital</t>
        </is>
      </c>
      <c r="Q358" t="inlineStr">
        <is>
          <t>J. Nyeman</t>
        </is>
      </c>
    </row>
    <row r="359">
      <c r="A359" t="inlineStr">
        <is>
          <t>AQ-2026-00356</t>
        </is>
      </c>
      <c r="B359" s="32" t="n">
        <v>46201</v>
      </c>
      <c r="C359" s="33">
        <f>MONTH(B359)</f>
        <v>6</v>
      </c>
      <c r="D359" t="inlineStr">
        <is>
          <t>Montserrado</t>
        </is>
      </c>
      <c r="E359" t="inlineStr">
        <is>
          <t>Cavalla Rubber Corporation</t>
        </is>
      </c>
      <c r="F359" t="inlineStr">
        <is>
          <t>Industrial Perimeter</t>
        </is>
      </c>
      <c r="G359" t="inlineStr">
        <is>
          <t>Air</t>
        </is>
      </c>
      <c r="H359" t="inlineStr">
        <is>
          <t>PM10</t>
        </is>
      </c>
      <c r="I359" t="n">
        <v>133.4</v>
      </c>
      <c r="J359" t="inlineStr">
        <is>
          <t>ug/m3</t>
        </is>
      </c>
      <c r="K359" t="n">
        <v>0</v>
      </c>
      <c r="L359" t="n">
        <v>50</v>
      </c>
      <c r="M359" t="str">
        <f>IF(AND(I359&gt;=K359,I359&lt;=L359),"Yes","No")</f>
        <v>No</v>
      </c>
      <c r="N359" s="34">
        <f>IF(L359=0,"",I359/L359)</f>
        <v>2.668</v>
      </c>
      <c r="O359" s="33" t="n">
        <v>6000</v>
      </c>
      <c r="P359" t="inlineStr">
        <is>
          <t>Redemption Hospital</t>
        </is>
      </c>
      <c r="Q359" t="inlineStr">
        <is>
          <t>H. Zolia</t>
        </is>
      </c>
    </row>
    <row r="360">
      <c r="A360" t="inlineStr">
        <is>
          <t>AQ-2026-00357</t>
        </is>
      </c>
      <c r="B360" s="32" t="n">
        <v>46191</v>
      </c>
      <c r="C360" s="33">
        <f>MONTH(B360)</f>
        <v>6</v>
      </c>
      <c r="D360" t="inlineStr">
        <is>
          <t>Bong</t>
        </is>
      </c>
      <c r="E360" t="inlineStr">
        <is>
          <t>Salala - Residential Area</t>
        </is>
      </c>
      <c r="F360" t="inlineStr">
        <is>
          <t>Residential Area</t>
        </is>
      </c>
      <c r="G360" t="inlineStr">
        <is>
          <t>Air</t>
        </is>
      </c>
      <c r="H360" t="inlineStr">
        <is>
          <t>Nitrogen Dioxide (NO2)</t>
        </is>
      </c>
      <c r="I360" t="n">
        <v>12.6</v>
      </c>
      <c r="J360" t="inlineStr">
        <is>
          <t>ug/m3</t>
        </is>
      </c>
      <c r="K360" t="n">
        <v>0</v>
      </c>
      <c r="L360" t="n">
        <v>40</v>
      </c>
      <c r="M360" t="str">
        <f>IF(AND(I360&gt;=K360,I360&lt;=L360),"Yes","No")</f>
        <v>Yes</v>
      </c>
      <c r="N360" s="34">
        <f>IF(L360=0,"",I360/L360)</f>
        <v>0.315</v>
      </c>
      <c r="O360" s="33" t="n">
        <v>450</v>
      </c>
      <c r="P360" t="inlineStr">
        <is>
          <t>Suakoko Clinic</t>
        </is>
      </c>
      <c r="Q360" t="inlineStr">
        <is>
          <t>P. Wleh</t>
        </is>
      </c>
    </row>
    <row r="361">
      <c r="A361" t="inlineStr">
        <is>
          <t>WQ-2026-00358</t>
        </is>
      </c>
      <c r="B361" s="32" t="n">
        <v>46182</v>
      </c>
      <c r="C361" s="33">
        <f>MONTH(B361)</f>
        <v>6</v>
      </c>
      <c r="D361" t="inlineStr">
        <is>
          <t>Montserrado</t>
        </is>
      </c>
      <c r="E361" t="inlineStr">
        <is>
          <t>Paynesville - School Water Point</t>
        </is>
      </c>
      <c r="F361" t="inlineStr">
        <is>
          <t>School Water Point</t>
        </is>
      </c>
      <c r="G361" t="inlineStr">
        <is>
          <t>Water</t>
        </is>
      </c>
      <c r="H361" t="inlineStr">
        <is>
          <t>Nitrate (as NO3)</t>
        </is>
      </c>
      <c r="I361" t="n">
        <v>2.6</v>
      </c>
      <c r="J361" t="inlineStr">
        <is>
          <t>mg/L</t>
        </is>
      </c>
      <c r="K361" t="n">
        <v>0</v>
      </c>
      <c r="L361" t="n">
        <v>10</v>
      </c>
      <c r="M361" t="str">
        <f>IF(AND(I361&gt;=K361,I361&lt;=L361),"Yes","No")</f>
        <v>Yes</v>
      </c>
      <c r="N361" s="34">
        <f>IF(L361=0,"",I361/L361)</f>
        <v>0.26</v>
      </c>
      <c r="O361" s="33" t="n">
        <v>900</v>
      </c>
      <c r="P361" t="inlineStr">
        <is>
          <t>St. Joseph's Catholic Hospital</t>
        </is>
      </c>
      <c r="Q361" t="inlineStr">
        <is>
          <t>M. Toe</t>
        </is>
      </c>
    </row>
    <row r="362">
      <c r="A362" t="inlineStr">
        <is>
          <t>WQ-2026-00359</t>
        </is>
      </c>
      <c r="B362" s="32" t="n">
        <v>46185</v>
      </c>
      <c r="C362" s="33">
        <f>MONTH(B362)</f>
        <v>6</v>
      </c>
      <c r="D362" t="inlineStr">
        <is>
          <t>Margibi</t>
        </is>
      </c>
      <c r="E362" t="inlineStr">
        <is>
          <t>Dolo Town - Hand-Dug Well</t>
        </is>
      </c>
      <c r="F362" t="inlineStr">
        <is>
          <t>Hand-Dug Well</t>
        </is>
      </c>
      <c r="G362" t="inlineStr">
        <is>
          <t>Water</t>
        </is>
      </c>
      <c r="H362" t="inlineStr">
        <is>
          <t>Total Coliform</t>
        </is>
      </c>
      <c r="I362" t="n">
        <v>0</v>
      </c>
      <c r="J362" t="inlineStr">
        <is>
          <t>CFU/100 mL</t>
        </is>
      </c>
      <c r="K362" t="n">
        <v>0</v>
      </c>
      <c r="L362" t="n">
        <v>0</v>
      </c>
      <c r="M362" t="str">
        <f>IF(AND(I362&gt;=K362,I362&lt;=L362),"Yes","No")</f>
        <v>Yes</v>
      </c>
      <c r="N362" s="34">
        <f>IF(L362=0,"",I362/L362)</f>
        <v/>
      </c>
      <c r="O362" s="33" t="n">
        <v>1800</v>
      </c>
      <c r="P362" t="inlineStr">
        <is>
          <t>C.H. Rennie Hospital</t>
        </is>
      </c>
      <c r="Q362" t="inlineStr">
        <is>
          <t>M. Toe</t>
        </is>
      </c>
    </row>
    <row r="363">
      <c r="A363" t="inlineStr">
        <is>
          <t>RD-2026-00360</t>
        </is>
      </c>
      <c r="B363" s="32" t="n">
        <v>46199</v>
      </c>
      <c r="C363" s="33">
        <f>MONTH(B363)</f>
        <v>6</v>
      </c>
      <c r="D363" t="inlineStr">
        <is>
          <t>Montserrado</t>
        </is>
      </c>
      <c r="E363" t="inlineStr">
        <is>
          <t>Paynesville - Dumpsite Perimeter</t>
        </is>
      </c>
      <c r="F363" t="inlineStr">
        <is>
          <t>Dumpsite Perimeter</t>
        </is>
      </c>
      <c r="G363" t="inlineStr">
        <is>
          <t>Ambient Radiation</t>
        </is>
      </c>
      <c r="H363" t="inlineStr">
        <is>
          <t>Gamma Dose Rate</t>
        </is>
      </c>
      <c r="I363" t="n">
        <v>0.12</v>
      </c>
      <c r="J363" t="inlineStr">
        <is>
          <t>uSv/h</t>
        </is>
      </c>
      <c r="K363" t="n">
        <v>0</v>
      </c>
      <c r="L363" t="n">
        <v>0.3</v>
      </c>
      <c r="M363" t="str">
        <f>IF(AND(I363&gt;=K363,I363&lt;=L363),"Yes","No")</f>
        <v>Yes</v>
      </c>
      <c r="N363" s="34">
        <f>IF(L363=0,"",I363/L363)</f>
        <v>0.4</v>
      </c>
      <c r="O363" s="33" t="n">
        <v>0</v>
      </c>
      <c r="P363" t="inlineStr">
        <is>
          <t>Redemption Hospital</t>
        </is>
      </c>
      <c r="Q363" t="inlineStr">
        <is>
          <t>T. Mulbah</t>
        </is>
      </c>
    </row>
    <row r="364">
      <c r="A364" t="inlineStr">
        <is>
          <t>WQ-2026-00361</t>
        </is>
      </c>
      <c r="B364" s="32" t="n">
        <v>46200</v>
      </c>
      <c r="C364" s="33">
        <f>MONTH(B364)</f>
        <v>6</v>
      </c>
      <c r="D364" t="inlineStr">
        <is>
          <t>Montserrado</t>
        </is>
      </c>
      <c r="E364" t="inlineStr">
        <is>
          <t>New Kru Town - Public Tap Stand</t>
        </is>
      </c>
      <c r="F364" t="inlineStr">
        <is>
          <t>Public Tap Stand</t>
        </is>
      </c>
      <c r="G364" t="inlineStr">
        <is>
          <t>Water</t>
        </is>
      </c>
      <c r="H364" t="inlineStr">
        <is>
          <t>Iron</t>
        </is>
      </c>
      <c r="I364" t="n">
        <v>0.12</v>
      </c>
      <c r="J364" t="inlineStr">
        <is>
          <t>mg/L</t>
        </is>
      </c>
      <c r="K364" t="n">
        <v>0</v>
      </c>
      <c r="L364" t="n">
        <v>0.3</v>
      </c>
      <c r="M364" t="str">
        <f>IF(AND(I364&gt;=K364,I364&lt;=L364),"Yes","No")</f>
        <v>Yes</v>
      </c>
      <c r="N364" s="34">
        <f>IF(L364=0,"",I364/L364)</f>
        <v>0.4</v>
      </c>
      <c r="O364" s="33" t="n">
        <v>2500</v>
      </c>
      <c r="P364" t="inlineStr">
        <is>
          <t>Benson Hospital</t>
        </is>
      </c>
      <c r="Q364" t="inlineStr">
        <is>
          <t>B. Kpadeh</t>
        </is>
      </c>
    </row>
    <row r="365">
      <c r="A365" t="inlineStr">
        <is>
          <t>RD-2026-00362</t>
        </is>
      </c>
      <c r="B365" s="32" t="n">
        <v>46200</v>
      </c>
      <c r="C365" s="33">
        <f>MONTH(B365)</f>
        <v>6</v>
      </c>
      <c r="D365" t="inlineStr">
        <is>
          <t>Nimba</t>
        </is>
      </c>
      <c r="E365" t="inlineStr">
        <is>
          <t>Karnplay - Medical Facility</t>
        </is>
      </c>
      <c r="F365" t="inlineStr">
        <is>
          <t>Medical Facility</t>
        </is>
      </c>
      <c r="G365" t="inlineStr">
        <is>
          <t>Ambient Radiation</t>
        </is>
      </c>
      <c r="H365" t="inlineStr">
        <is>
          <t>Gamma Dose Rate</t>
        </is>
      </c>
      <c r="I365" t="n">
        <v>0.26</v>
      </c>
      <c r="J365" t="inlineStr">
        <is>
          <t>uSv/h</t>
        </is>
      </c>
      <c r="K365" t="n">
        <v>0</v>
      </c>
      <c r="L365" t="n">
        <v>0.3</v>
      </c>
      <c r="M365" t="str">
        <f>IF(AND(I365&gt;=K365,I365&lt;=L365),"Yes","No")</f>
        <v>Yes</v>
      </c>
      <c r="N365" s="34">
        <f>IF(L365=0,"",I365/L365)</f>
        <v>0.8666666667</v>
      </c>
      <c r="O365" s="33" t="n">
        <v>0</v>
      </c>
      <c r="P365" t="inlineStr">
        <is>
          <t>Saclepea Health Center</t>
        </is>
      </c>
      <c r="Q365" t="inlineStr">
        <is>
          <t>H. Zolia</t>
        </is>
      </c>
    </row>
    <row r="366">
      <c r="A366" t="inlineStr">
        <is>
          <t>SL-2026-00363</t>
        </is>
      </c>
      <c r="B366" s="32" t="n">
        <v>46177</v>
      </c>
      <c r="C366" s="33">
        <f>MONTH(B366)</f>
        <v>6</v>
      </c>
      <c r="D366" t="inlineStr">
        <is>
          <t>Lofa</t>
        </is>
      </c>
      <c r="E366" t="inlineStr">
        <is>
          <t>Foya - Farmland</t>
        </is>
      </c>
      <c r="F366" t="inlineStr">
        <is>
          <t>Farmland</t>
        </is>
      </c>
      <c r="G366" t="inlineStr">
        <is>
          <t>Soil</t>
        </is>
      </c>
      <c r="H366" t="inlineStr">
        <is>
          <t>Mercury</t>
        </is>
      </c>
      <c r="I366" t="n">
        <v>2.8</v>
      </c>
      <c r="J366" t="inlineStr">
        <is>
          <t>mg/kg</t>
        </is>
      </c>
      <c r="K366" t="n">
        <v>0</v>
      </c>
      <c r="L366" t="n">
        <v>1</v>
      </c>
      <c r="M366" t="str">
        <f>IF(AND(I366&gt;=K366,I366&lt;=L366),"Yes","No")</f>
        <v>No</v>
      </c>
      <c r="N366" s="34">
        <f>IF(L366=0,"",I366/L366)</f>
        <v>2.8</v>
      </c>
      <c r="O366" s="33" t="n">
        <v>800</v>
      </c>
      <c r="P366" t="inlineStr">
        <is>
          <t>Zorzor Hospital</t>
        </is>
      </c>
      <c r="Q366" t="inlineStr">
        <is>
          <t>T. Mulbah</t>
        </is>
      </c>
    </row>
    <row r="367">
      <c r="A367" t="inlineStr">
        <is>
          <t>WQ-2026-00364</t>
        </is>
      </c>
      <c r="B367" s="32" t="n">
        <v>46175</v>
      </c>
      <c r="C367" s="33">
        <f>MONTH(B367)</f>
        <v>6</v>
      </c>
      <c r="D367" t="inlineStr">
        <is>
          <t>Montserrado</t>
        </is>
      </c>
      <c r="E367" t="inlineStr">
        <is>
          <t>Johnsonville - Hand-Dug Well</t>
        </is>
      </c>
      <c r="F367" t="inlineStr">
        <is>
          <t>Hand-Dug Well</t>
        </is>
      </c>
      <c r="G367" t="inlineStr">
        <is>
          <t>Water</t>
        </is>
      </c>
      <c r="H367" t="inlineStr">
        <is>
          <t>Manganese</t>
        </is>
      </c>
      <c r="I367" t="n">
        <v>0.85</v>
      </c>
      <c r="J367" t="inlineStr">
        <is>
          <t>mg/L</t>
        </is>
      </c>
      <c r="K367" t="n">
        <v>0</v>
      </c>
      <c r="L367" t="n">
        <v>0.4</v>
      </c>
      <c r="M367" t="str">
        <f>IF(AND(I367&gt;=K367,I367&lt;=L367),"Yes","No")</f>
        <v>No</v>
      </c>
      <c r="N367" s="34">
        <f>IF(L367=0,"",I367/L367)</f>
        <v>2.125</v>
      </c>
      <c r="O367" s="33" t="n">
        <v>120</v>
      </c>
      <c r="P367" t="inlineStr">
        <is>
          <t>Benson Hospital</t>
        </is>
      </c>
      <c r="Q367" t="inlineStr">
        <is>
          <t>T. Mulbah</t>
        </is>
      </c>
    </row>
    <row r="368">
      <c r="A368" t="inlineStr">
        <is>
          <t>AQ-2026-00365</t>
        </is>
      </c>
      <c r="B368" s="32" t="n">
        <v>46190</v>
      </c>
      <c r="C368" s="33">
        <f>MONTH(B368)</f>
        <v>6</v>
      </c>
      <c r="D368" t="inlineStr">
        <is>
          <t>Grand Cape Mount</t>
        </is>
      </c>
      <c r="E368" t="inlineStr">
        <is>
          <t>Robertsport - Residential Area</t>
        </is>
      </c>
      <c r="F368" t="inlineStr">
        <is>
          <t>Residential Area</t>
        </is>
      </c>
      <c r="G368" t="inlineStr">
        <is>
          <t>Air</t>
        </is>
      </c>
      <c r="H368" t="inlineStr">
        <is>
          <t>PM10</t>
        </is>
      </c>
      <c r="I368" t="n">
        <v>35.8</v>
      </c>
      <c r="J368" t="inlineStr">
        <is>
          <t>ug/m3</t>
        </is>
      </c>
      <c r="K368" t="n">
        <v>0</v>
      </c>
      <c r="L368" t="n">
        <v>50</v>
      </c>
      <c r="M368" t="str">
        <f>IF(AND(I368&gt;=K368,I368&lt;=L368),"Yes","No")</f>
        <v>Yes</v>
      </c>
      <c r="N368" s="34">
        <f>IF(L368=0,"",I368/L368)</f>
        <v>0.716</v>
      </c>
      <c r="O368" s="33" t="n">
        <v>1500</v>
      </c>
      <c r="P368" t="inlineStr">
        <is>
          <t>Sinje Health Center</t>
        </is>
      </c>
      <c r="Q368" t="inlineStr">
        <is>
          <t>A. Kollie</t>
        </is>
      </c>
    </row>
    <row r="369">
      <c r="A369" t="inlineStr">
        <is>
          <t>AQ-2026-00366</t>
        </is>
      </c>
      <c r="B369" s="32" t="n">
        <v>46185</v>
      </c>
      <c r="C369" s="33">
        <f>MONTH(B369)</f>
        <v>6</v>
      </c>
      <c r="D369" t="inlineStr">
        <is>
          <t>Nimba</t>
        </is>
      </c>
      <c r="E369" t="inlineStr">
        <is>
          <t>Yekepa - Residential Area</t>
        </is>
      </c>
      <c r="F369" t="inlineStr">
        <is>
          <t>Residential Area</t>
        </is>
      </c>
      <c r="G369" t="inlineStr">
        <is>
          <t>Air</t>
        </is>
      </c>
      <c r="H369" t="inlineStr">
        <is>
          <t>PM10</t>
        </is>
      </c>
      <c r="I369" t="n">
        <v>21.5</v>
      </c>
      <c r="J369" t="inlineStr">
        <is>
          <t>ug/m3</t>
        </is>
      </c>
      <c r="K369" t="n">
        <v>0</v>
      </c>
      <c r="L369" t="n">
        <v>50</v>
      </c>
      <c r="M369" t="str">
        <f>IF(AND(I369&gt;=K369,I369&lt;=L369),"Yes","No")</f>
        <v>Yes</v>
      </c>
      <c r="N369" s="34">
        <f>IF(L369=0,"",I369/L369)</f>
        <v>0.43</v>
      </c>
      <c r="O369" s="33" t="n">
        <v>200</v>
      </c>
      <c r="P369" t="inlineStr">
        <is>
          <t>Ganta United Methodist Hospital</t>
        </is>
      </c>
      <c r="Q369" t="inlineStr">
        <is>
          <t>J. Nyeman</t>
        </is>
      </c>
    </row>
    <row r="370">
      <c r="A370" t="inlineStr">
        <is>
          <t>RD-2026-00367</t>
        </is>
      </c>
      <c r="B370" s="32" t="n">
        <v>46187</v>
      </c>
      <c r="C370" s="33">
        <f>MONTH(B370)</f>
        <v>6</v>
      </c>
      <c r="D370" t="inlineStr">
        <is>
          <t>Nimba</t>
        </is>
      </c>
      <c r="E370" t="inlineStr">
        <is>
          <t>Karnplay - Dumpsite Perimeter</t>
        </is>
      </c>
      <c r="F370" t="inlineStr">
        <is>
          <t>Dumpsite Perimeter</t>
        </is>
      </c>
      <c r="G370" t="inlineStr">
        <is>
          <t>Ambient Radiation</t>
        </is>
      </c>
      <c r="H370" t="inlineStr">
        <is>
          <t>Gamma Dose Rate</t>
        </is>
      </c>
      <c r="I370" t="n">
        <v>0.13</v>
      </c>
      <c r="J370" t="inlineStr">
        <is>
          <t>uSv/h</t>
        </is>
      </c>
      <c r="K370" t="n">
        <v>0</v>
      </c>
      <c r="L370" t="n">
        <v>0.3</v>
      </c>
      <c r="M370" t="str">
        <f>IF(AND(I370&gt;=K370,I370&lt;=L370),"Yes","No")</f>
        <v>Yes</v>
      </c>
      <c r="N370" s="34">
        <f>IF(L370=0,"",I370/L370)</f>
        <v>0.4333333333</v>
      </c>
      <c r="O370" s="33" t="n">
        <v>0</v>
      </c>
      <c r="P370" t="inlineStr">
        <is>
          <t>Saclepea Health Center</t>
        </is>
      </c>
      <c r="Q370" t="inlineStr">
        <is>
          <t>F. Gbato</t>
        </is>
      </c>
    </row>
    <row r="371">
      <c r="A371" t="inlineStr">
        <is>
          <t>AQ-2026-00368</t>
        </is>
      </c>
      <c r="B371" s="32" t="n">
        <v>46203</v>
      </c>
      <c r="C371" s="33">
        <f>MONTH(B371)</f>
        <v>6</v>
      </c>
      <c r="D371" t="inlineStr">
        <is>
          <t>Nimba</t>
        </is>
      </c>
      <c r="E371" t="inlineStr">
        <is>
          <t>Cavalla Rubber Corporation</t>
        </is>
      </c>
      <c r="F371" t="inlineStr">
        <is>
          <t>Industrial Perimeter</t>
        </is>
      </c>
      <c r="G371" t="inlineStr">
        <is>
          <t>Air</t>
        </is>
      </c>
      <c r="H371" t="inlineStr">
        <is>
          <t>PM10</t>
        </is>
      </c>
      <c r="I371" t="n">
        <v>4.4</v>
      </c>
      <c r="J371" t="inlineStr">
        <is>
          <t>ug/m3</t>
        </is>
      </c>
      <c r="K371" t="n">
        <v>0</v>
      </c>
      <c r="L371" t="n">
        <v>50</v>
      </c>
      <c r="M371" t="str">
        <f>IF(AND(I371&gt;=K371,I371&lt;=L371),"Yes","No")</f>
        <v>Yes</v>
      </c>
      <c r="N371" s="34">
        <f>IF(L371=0,"",I371/L371)</f>
        <v>0.088</v>
      </c>
      <c r="O371" s="33" t="n">
        <v>0</v>
      </c>
      <c r="P371" t="inlineStr">
        <is>
          <t>Tappita Referral Hospital</t>
        </is>
      </c>
      <c r="Q371" t="inlineStr">
        <is>
          <t>B. Kpadeh</t>
        </is>
      </c>
    </row>
    <row r="372">
      <c r="A372" t="inlineStr">
        <is>
          <t>WQ-2026-00369</t>
        </is>
      </c>
      <c r="B372" s="32" t="n">
        <v>46182</v>
      </c>
      <c r="C372" s="33">
        <f>MONTH(B372)</f>
        <v>6</v>
      </c>
      <c r="D372" t="inlineStr">
        <is>
          <t>Sinoe</t>
        </is>
      </c>
      <c r="E372" t="inlineStr">
        <is>
          <t>Butaw - River / Stream Intake</t>
        </is>
      </c>
      <c r="F372" t="inlineStr">
        <is>
          <t>River / Stream Intake</t>
        </is>
      </c>
      <c r="G372" t="inlineStr">
        <is>
          <t>Water</t>
        </is>
      </c>
      <c r="H372" t="inlineStr">
        <is>
          <t>Lead</t>
        </is>
      </c>
      <c r="I372" t="n">
        <v>0.0075</v>
      </c>
      <c r="J372" t="inlineStr">
        <is>
          <t>mg/L</t>
        </is>
      </c>
      <c r="K372" t="n">
        <v>0</v>
      </c>
      <c r="L372" t="n">
        <v>0.01</v>
      </c>
      <c r="M372" t="str">
        <f>IF(AND(I372&gt;=K372,I372&lt;=L372),"Yes","No")</f>
        <v>Yes</v>
      </c>
      <c r="N372" s="34">
        <f>IF(L372=0,"",I372/L372)</f>
        <v>0.75</v>
      </c>
      <c r="O372" s="33" t="n">
        <v>1200</v>
      </c>
      <c r="P372" t="inlineStr">
        <is>
          <t>Greenville Health Center</t>
        </is>
      </c>
      <c r="Q372" t="inlineStr">
        <is>
          <t>H. Zolia</t>
        </is>
      </c>
    </row>
    <row r="373">
      <c r="A373" t="inlineStr">
        <is>
          <t>AQ-2026-00370</t>
        </is>
      </c>
      <c r="B373" s="32" t="n">
        <v>46192</v>
      </c>
      <c r="C373" s="33">
        <f>MONTH(B373)</f>
        <v>6</v>
      </c>
      <c r="D373" t="inlineStr">
        <is>
          <t>Bong</t>
        </is>
      </c>
      <c r="E373" t="inlineStr">
        <is>
          <t>Gbarnga - Dumpsite Perimeter</t>
        </is>
      </c>
      <c r="F373" t="inlineStr">
        <is>
          <t>Dumpsite Perimeter</t>
        </is>
      </c>
      <c r="G373" t="inlineStr">
        <is>
          <t>Air</t>
        </is>
      </c>
      <c r="H373" t="inlineStr">
        <is>
          <t>Sulphur Dioxide (SO2)</t>
        </is>
      </c>
      <c r="I373" t="n">
        <v>95</v>
      </c>
      <c r="J373" t="inlineStr">
        <is>
          <t>ug/m3</t>
        </is>
      </c>
      <c r="K373" t="n">
        <v>0</v>
      </c>
      <c r="L373" t="n">
        <v>125</v>
      </c>
      <c r="M373" t="str">
        <f>IF(AND(I373&gt;=K373,I373&lt;=L373),"Yes","No")</f>
        <v>Yes</v>
      </c>
      <c r="N373" s="34">
        <f>IF(L373=0,"",I373/L373)</f>
        <v>0.76</v>
      </c>
      <c r="O373" s="33" t="n">
        <v>3500</v>
      </c>
      <c r="P373" t="inlineStr">
        <is>
          <t>Phebe Hospital</t>
        </is>
      </c>
      <c r="Q373" t="inlineStr">
        <is>
          <t>T. Mulbah</t>
        </is>
      </c>
    </row>
    <row r="374">
      <c r="A374" t="inlineStr">
        <is>
          <t>AQ-2026-00371</t>
        </is>
      </c>
      <c r="B374" s="32" t="n">
        <v>46192</v>
      </c>
      <c r="C374" s="33">
        <f>MONTH(B374)</f>
        <v>6</v>
      </c>
      <c r="D374" t="inlineStr">
        <is>
          <t>Nimba</t>
        </is>
      </c>
      <c r="E374" t="inlineStr">
        <is>
          <t>Saclepea - Industrial Perimeter</t>
        </is>
      </c>
      <c r="F374" t="inlineStr">
        <is>
          <t>Industrial Perimeter</t>
        </is>
      </c>
      <c r="G374" t="inlineStr">
        <is>
          <t>Air</t>
        </is>
      </c>
      <c r="H374" t="inlineStr">
        <is>
          <t>PM2.5</t>
        </is>
      </c>
      <c r="I374" t="n">
        <v>15.5</v>
      </c>
      <c r="J374" t="inlineStr">
        <is>
          <t>ug/m3</t>
        </is>
      </c>
      <c r="K374" t="n">
        <v>0</v>
      </c>
      <c r="L374" t="n">
        <v>25</v>
      </c>
      <c r="M374" t="str">
        <f>IF(AND(I374&gt;=K374,I374&lt;=L374),"Yes","No")</f>
        <v>Yes</v>
      </c>
      <c r="N374" s="34">
        <f>IF(L374=0,"",I374/L374)</f>
        <v>0.62</v>
      </c>
      <c r="O374" s="33" t="n">
        <v>6000</v>
      </c>
      <c r="P374" t="inlineStr">
        <is>
          <t>Ganta United Methodist Hospital</t>
        </is>
      </c>
      <c r="Q374" t="inlineStr">
        <is>
          <t>B. Kpadeh</t>
        </is>
      </c>
    </row>
    <row r="375">
      <c r="A375" t="inlineStr">
        <is>
          <t>AQ-2026-00372</t>
        </is>
      </c>
      <c r="B375" s="32" t="n">
        <v>46197</v>
      </c>
      <c r="C375" s="33">
        <f>MONTH(B375)</f>
        <v>6</v>
      </c>
      <c r="D375" t="inlineStr">
        <is>
          <t>Montserrado</t>
        </is>
      </c>
      <c r="E375" t="inlineStr">
        <is>
          <t>Brewerville - Urban Roadside</t>
        </is>
      </c>
      <c r="F375" t="inlineStr">
        <is>
          <t>Urban Roadside</t>
        </is>
      </c>
      <c r="G375" t="inlineStr">
        <is>
          <t>Air</t>
        </is>
      </c>
      <c r="H375" t="inlineStr">
        <is>
          <t>Nitrogen Dioxide (NO2)</t>
        </is>
      </c>
      <c r="I375" t="n">
        <v>1.7</v>
      </c>
      <c r="J375" t="inlineStr">
        <is>
          <t>ug/m3</t>
        </is>
      </c>
      <c r="K375" t="n">
        <v>0</v>
      </c>
      <c r="L375" t="n">
        <v>40</v>
      </c>
      <c r="M375" t="str">
        <f>IF(AND(I375&gt;=K375,I375&lt;=L375),"Yes","No")</f>
        <v>Yes</v>
      </c>
      <c r="N375" s="34">
        <f>IF(L375=0,"",I375/L375)</f>
        <v>0.0425</v>
      </c>
      <c r="O375" s="33" t="n">
        <v>2200</v>
      </c>
      <c r="P375" t="inlineStr">
        <is>
          <t>Redemption Hospital</t>
        </is>
      </c>
      <c r="Q375" t="inlineStr">
        <is>
          <t>J. Nyeman</t>
        </is>
      </c>
    </row>
    <row r="376">
      <c r="A376" t="inlineStr">
        <is>
          <t>SL-2026-00373</t>
        </is>
      </c>
      <c r="B376" s="32" t="n">
        <v>46188</v>
      </c>
      <c r="C376" s="33">
        <f>MONTH(B376)</f>
        <v>6</v>
      </c>
      <c r="D376" t="inlineStr">
        <is>
          <t>Nimba</t>
        </is>
      </c>
      <c r="E376" t="inlineStr">
        <is>
          <t>Maryland Oil Palm Estate</t>
        </is>
      </c>
      <c r="F376" t="inlineStr">
        <is>
          <t>Industrial Perimeter</t>
        </is>
      </c>
      <c r="G376" t="inlineStr">
        <is>
          <t>Soil</t>
        </is>
      </c>
      <c r="H376" t="inlineStr">
        <is>
          <t>Cadmium</t>
        </is>
      </c>
      <c r="I376" t="n">
        <v>5.7</v>
      </c>
      <c r="J376" t="inlineStr">
        <is>
          <t>mg/kg</t>
        </is>
      </c>
      <c r="K376" t="n">
        <v>0</v>
      </c>
      <c r="L376" t="n">
        <v>3</v>
      </c>
      <c r="M376" t="str">
        <f>IF(AND(I376&gt;=K376,I376&lt;=L376),"Yes","No")</f>
        <v>No</v>
      </c>
      <c r="N376" s="34">
        <f>IF(L376=0,"",I376/L376)</f>
        <v>1.9</v>
      </c>
      <c r="O376" s="33" t="n">
        <v>2200</v>
      </c>
      <c r="P376" t="inlineStr">
        <is>
          <t>Saclepea Health Center</t>
        </is>
      </c>
      <c r="Q376" t="inlineStr">
        <is>
          <t>J. Nyeman</t>
        </is>
      </c>
    </row>
    <row r="377">
      <c r="A377" t="inlineStr">
        <is>
          <t>AQ-2026-00374</t>
        </is>
      </c>
      <c r="B377" s="32" t="n">
        <v>46187</v>
      </c>
      <c r="C377" s="33">
        <f>MONTH(B377)</f>
        <v>6</v>
      </c>
      <c r="D377" t="inlineStr">
        <is>
          <t>Bong</t>
        </is>
      </c>
      <c r="E377" t="inlineStr">
        <is>
          <t>China Union Bong Mines</t>
        </is>
      </c>
      <c r="F377" t="inlineStr">
        <is>
          <t>Industrial Perimeter</t>
        </is>
      </c>
      <c r="G377" t="inlineStr">
        <is>
          <t>Air</t>
        </is>
      </c>
      <c r="H377" t="inlineStr">
        <is>
          <t>PM10</t>
        </is>
      </c>
      <c r="I377" t="n">
        <v>14.4</v>
      </c>
      <c r="J377" t="inlineStr">
        <is>
          <t>ug/m3</t>
        </is>
      </c>
      <c r="K377" t="n">
        <v>0</v>
      </c>
      <c r="L377" t="n">
        <v>50</v>
      </c>
      <c r="M377" t="str">
        <f>IF(AND(I377&gt;=K377,I377&lt;=L377),"Yes","No")</f>
        <v>Yes</v>
      </c>
      <c r="N377" s="34">
        <f>IF(L377=0,"",I377/L377)</f>
        <v>0.288</v>
      </c>
      <c r="O377" s="33" t="n">
        <v>3500</v>
      </c>
      <c r="P377" t="inlineStr">
        <is>
          <t>Gbarnga Health Center</t>
        </is>
      </c>
      <c r="Q377" t="inlineStr">
        <is>
          <t>J. Nyeman</t>
        </is>
      </c>
    </row>
    <row r="378">
      <c r="A378" t="inlineStr">
        <is>
          <t>WQ-2026-00375</t>
        </is>
      </c>
      <c r="B378" s="32" t="n">
        <v>46194</v>
      </c>
      <c r="C378" s="33">
        <f>MONTH(B378)</f>
        <v>6</v>
      </c>
      <c r="D378" t="inlineStr">
        <is>
          <t>Nimba</t>
        </is>
      </c>
      <c r="E378" t="inlineStr">
        <is>
          <t>Yekepa - Public Tap Stand</t>
        </is>
      </c>
      <c r="F378" t="inlineStr">
        <is>
          <t>Public Tap Stand</t>
        </is>
      </c>
      <c r="G378" t="inlineStr">
        <is>
          <t>Water</t>
        </is>
      </c>
      <c r="H378" t="inlineStr">
        <is>
          <t>Arsenic</t>
        </is>
      </c>
      <c r="I378" t="n">
        <v>0.0076</v>
      </c>
      <c r="J378" t="inlineStr">
        <is>
          <t>mg/L</t>
        </is>
      </c>
      <c r="K378" t="n">
        <v>0</v>
      </c>
      <c r="L378" t="n">
        <v>0.01</v>
      </c>
      <c r="M378" t="str">
        <f>IF(AND(I378&gt;=K378,I378&lt;=L378),"Yes","No")</f>
        <v>Yes</v>
      </c>
      <c r="N378" s="34">
        <f>IF(L378=0,"",I378/L378)</f>
        <v>0.76</v>
      </c>
      <c r="O378" s="33" t="n">
        <v>1800</v>
      </c>
      <c r="P378" t="inlineStr">
        <is>
          <t>Tappita Referral Hospital</t>
        </is>
      </c>
      <c r="Q378" t="inlineStr">
        <is>
          <t>T. Mulbah</t>
        </is>
      </c>
    </row>
    <row r="379">
      <c r="A379" t="inlineStr">
        <is>
          <t>SL-2026-00376</t>
        </is>
      </c>
      <c r="B379" s="32" t="n">
        <v>46186</v>
      </c>
      <c r="C379" s="33">
        <f>MONTH(B379)</f>
        <v>6</v>
      </c>
      <c r="D379" t="inlineStr">
        <is>
          <t>Grand Bassa</t>
        </is>
      </c>
      <c r="E379" t="inlineStr">
        <is>
          <t>Buchanan - Farmland</t>
        </is>
      </c>
      <c r="F379" t="inlineStr">
        <is>
          <t>Farmland</t>
        </is>
      </c>
      <c r="G379" t="inlineStr">
        <is>
          <t>Soil</t>
        </is>
      </c>
      <c r="H379" t="inlineStr">
        <is>
          <t>Arsenic</t>
        </is>
      </c>
      <c r="I379" t="n">
        <v>16.6</v>
      </c>
      <c r="J379" t="inlineStr">
        <is>
          <t>mg/kg</t>
        </is>
      </c>
      <c r="K379" t="n">
        <v>0</v>
      </c>
      <c r="L379" t="n">
        <v>20</v>
      </c>
      <c r="M379" t="str">
        <f>IF(AND(I379&gt;=K379,I379&lt;=L379),"Yes","No")</f>
        <v>Yes</v>
      </c>
      <c r="N379" s="34">
        <f>IF(L379=0,"",I379/L379)</f>
        <v>0.83</v>
      </c>
      <c r="O379" s="33" t="n">
        <v>0</v>
      </c>
      <c r="P379" t="inlineStr">
        <is>
          <t>Buchanan Government Hospital</t>
        </is>
      </c>
      <c r="Q379" t="inlineStr">
        <is>
          <t>P. Wleh</t>
        </is>
      </c>
    </row>
    <row r="380">
      <c r="A380" t="inlineStr">
        <is>
          <t>AQ-2026-00377</t>
        </is>
      </c>
      <c r="B380" s="32" t="n">
        <v>46202</v>
      </c>
      <c r="C380" s="33">
        <f>MONTH(B380)</f>
        <v>6</v>
      </c>
      <c r="D380" t="inlineStr">
        <is>
          <t>Grand Bassa</t>
        </is>
      </c>
      <c r="E380" t="inlineStr">
        <is>
          <t>Owensgrove - Residential Area</t>
        </is>
      </c>
      <c r="F380" t="inlineStr">
        <is>
          <t>Residential Area</t>
        </is>
      </c>
      <c r="G380" t="inlineStr">
        <is>
          <t>Air</t>
        </is>
      </c>
      <c r="H380" t="inlineStr">
        <is>
          <t>PM10</t>
        </is>
      </c>
      <c r="I380" t="n">
        <v>30.5</v>
      </c>
      <c r="J380" t="inlineStr">
        <is>
          <t>ug/m3</t>
        </is>
      </c>
      <c r="K380" t="n">
        <v>0</v>
      </c>
      <c r="L380" t="n">
        <v>50</v>
      </c>
      <c r="M380" t="str">
        <f>IF(AND(I380&gt;=K380,I380&lt;=L380),"Yes","No")</f>
        <v>Yes</v>
      </c>
      <c r="N380" s="34">
        <f>IF(L380=0,"",I380/L380)</f>
        <v>0.61</v>
      </c>
      <c r="O380" s="33" t="n">
        <v>6000</v>
      </c>
      <c r="P380" t="inlineStr">
        <is>
          <t>Edina Health Center</t>
        </is>
      </c>
      <c r="Q380" t="inlineStr">
        <is>
          <t>J. Nyeman</t>
        </is>
      </c>
    </row>
    <row r="381">
      <c r="A381" t="inlineStr">
        <is>
          <t>WQ-2026-00378</t>
        </is>
      </c>
      <c r="B381" s="32" t="n">
        <v>46184</v>
      </c>
      <c r="C381" s="33">
        <f>MONTH(B381)</f>
        <v>6</v>
      </c>
      <c r="D381" t="inlineStr">
        <is>
          <t>Montserrado</t>
        </is>
      </c>
      <c r="E381" t="inlineStr">
        <is>
          <t>Gardnersville - Hand-Dug Well</t>
        </is>
      </c>
      <c r="F381" t="inlineStr">
        <is>
          <t>Hand-Dug Well</t>
        </is>
      </c>
      <c r="G381" t="inlineStr">
        <is>
          <t>Water</t>
        </is>
      </c>
      <c r="H381" t="inlineStr">
        <is>
          <t>Nitrate (as NO3)</t>
        </is>
      </c>
      <c r="I381" t="n">
        <v>5.8</v>
      </c>
      <c r="J381" t="inlineStr">
        <is>
          <t>mg/L</t>
        </is>
      </c>
      <c r="K381" t="n">
        <v>0</v>
      </c>
      <c r="L381" t="n">
        <v>10</v>
      </c>
      <c r="M381" t="str">
        <f>IF(AND(I381&gt;=K381,I381&lt;=L381),"Yes","No")</f>
        <v>Yes</v>
      </c>
      <c r="N381" s="34">
        <f>IF(L381=0,"",I381/L381)</f>
        <v>0.58</v>
      </c>
      <c r="O381" s="33" t="n">
        <v>120</v>
      </c>
      <c r="P381" t="inlineStr">
        <is>
          <t>Benson Hospital</t>
        </is>
      </c>
      <c r="Q381" t="inlineStr">
        <is>
          <t>E. Sebo</t>
        </is>
      </c>
    </row>
    <row r="382">
      <c r="A382" t="inlineStr">
        <is>
          <t>AQ-2026-00379</t>
        </is>
      </c>
      <c r="B382" s="32" t="n">
        <v>46201</v>
      </c>
      <c r="C382" s="33">
        <f>MONTH(B382)</f>
        <v>6</v>
      </c>
      <c r="D382" t="inlineStr">
        <is>
          <t>Margibi</t>
        </is>
      </c>
      <c r="E382" t="inlineStr">
        <is>
          <t>Kakata - Urban Roadside</t>
        </is>
      </c>
      <c r="F382" t="inlineStr">
        <is>
          <t>Urban Roadside</t>
        </is>
      </c>
      <c r="G382" t="inlineStr">
        <is>
          <t>Air</t>
        </is>
      </c>
      <c r="H382" t="inlineStr">
        <is>
          <t>Nitrogen Dioxide (NO2)</t>
        </is>
      </c>
      <c r="I382" t="n">
        <v>19</v>
      </c>
      <c r="J382" t="inlineStr">
        <is>
          <t>ug/m3</t>
        </is>
      </c>
      <c r="K382" t="n">
        <v>0</v>
      </c>
      <c r="L382" t="n">
        <v>40</v>
      </c>
      <c r="M382" t="str">
        <f>IF(AND(I382&gt;=K382,I382&lt;=L382),"Yes","No")</f>
        <v>Yes</v>
      </c>
      <c r="N382" s="34">
        <f>IF(L382=0,"",I382/L382)</f>
        <v>0.475</v>
      </c>
      <c r="O382" s="33" t="n">
        <v>2200</v>
      </c>
      <c r="P382" t="inlineStr">
        <is>
          <t>Harbel Health Center</t>
        </is>
      </c>
      <c r="Q382" t="inlineStr">
        <is>
          <t>B. Kpadeh</t>
        </is>
      </c>
    </row>
    <row r="383">
      <c r="A383" t="inlineStr">
        <is>
          <t>WQ-2026-00380</t>
        </is>
      </c>
      <c r="B383" s="32" t="n">
        <v>46185</v>
      </c>
      <c r="C383" s="33">
        <f>MONTH(B383)</f>
        <v>6</v>
      </c>
      <c r="D383" t="inlineStr">
        <is>
          <t>Bong</t>
        </is>
      </c>
      <c r="E383" t="inlineStr">
        <is>
          <t>Palala - Hand-Dug Well</t>
        </is>
      </c>
      <c r="F383" t="inlineStr">
        <is>
          <t>Hand-Dug Well</t>
        </is>
      </c>
      <c r="G383" t="inlineStr">
        <is>
          <t>Water</t>
        </is>
      </c>
      <c r="H383" t="inlineStr">
        <is>
          <t>Total Coliform</t>
        </is>
      </c>
      <c r="I383" t="n">
        <v>33</v>
      </c>
      <c r="J383" t="inlineStr">
        <is>
          <t>CFU/100 mL</t>
        </is>
      </c>
      <c r="K383" t="n">
        <v>0</v>
      </c>
      <c r="L383" t="n">
        <v>0</v>
      </c>
      <c r="M383" t="str">
        <f>IF(AND(I383&gt;=K383,I383&lt;=L383),"Yes","No")</f>
        <v>No</v>
      </c>
      <c r="N383" s="34">
        <f>IF(L383=0,"",I383/L383)</f>
        <v/>
      </c>
      <c r="O383" s="33" t="n">
        <v>4200</v>
      </c>
      <c r="P383" t="inlineStr">
        <is>
          <t>Phebe Hospital</t>
        </is>
      </c>
      <c r="Q383" t="inlineStr">
        <is>
          <t>E. Sebo</t>
        </is>
      </c>
    </row>
    <row r="384">
      <c r="A384" t="inlineStr">
        <is>
          <t>WQ-2026-00381</t>
        </is>
      </c>
      <c r="B384" s="32" t="n">
        <v>46194</v>
      </c>
      <c r="C384" s="33">
        <f>MONTH(B384)</f>
        <v>6</v>
      </c>
      <c r="D384" t="inlineStr">
        <is>
          <t>Montserrado</t>
        </is>
      </c>
      <c r="E384" t="inlineStr">
        <is>
          <t>West Point - Hand-Dug Well</t>
        </is>
      </c>
      <c r="F384" t="inlineStr">
        <is>
          <t>Hand-Dug Well</t>
        </is>
      </c>
      <c r="G384" t="inlineStr">
        <is>
          <t>Water</t>
        </is>
      </c>
      <c r="H384" t="inlineStr">
        <is>
          <t>Turbidity</t>
        </is>
      </c>
      <c r="I384" t="n">
        <v>4.2</v>
      </c>
      <c r="J384" t="inlineStr">
        <is>
          <t>NTU</t>
        </is>
      </c>
      <c r="K384" t="n">
        <v>0</v>
      </c>
      <c r="L384" t="n">
        <v>5</v>
      </c>
      <c r="M384" t="str">
        <f>IF(AND(I384&gt;=K384,I384&lt;=L384),"Yes","No")</f>
        <v>Yes</v>
      </c>
      <c r="N384" s="34">
        <f>IF(L384=0,"",I384/L384)</f>
        <v>0.84</v>
      </c>
      <c r="O384" s="33" t="n">
        <v>750</v>
      </c>
      <c r="P384" t="inlineStr">
        <is>
          <t>Redemption Hospital</t>
        </is>
      </c>
      <c r="Q384" t="inlineStr">
        <is>
          <t>T. Mulbah</t>
        </is>
      </c>
    </row>
    <row r="385">
      <c r="A385" t="inlineStr">
        <is>
          <t>RD-2026-00382</t>
        </is>
      </c>
      <c r="B385" s="32" t="n">
        <v>46177</v>
      </c>
      <c r="C385" s="33">
        <f>MONTH(B385)</f>
        <v>6</v>
      </c>
      <c r="D385" t="inlineStr">
        <is>
          <t>Grand Cape Mount</t>
        </is>
      </c>
      <c r="E385" t="inlineStr">
        <is>
          <t>Robertsport - Urban Background</t>
        </is>
      </c>
      <c r="F385" t="inlineStr">
        <is>
          <t>Urban Background</t>
        </is>
      </c>
      <c r="G385" t="inlineStr">
        <is>
          <t>Ambient Radiation</t>
        </is>
      </c>
      <c r="H385" t="inlineStr">
        <is>
          <t>Gamma Dose Rate</t>
        </is>
      </c>
      <c r="I385" t="n">
        <v>0.22</v>
      </c>
      <c r="J385" t="inlineStr">
        <is>
          <t>uSv/h</t>
        </is>
      </c>
      <c r="K385" t="n">
        <v>0</v>
      </c>
      <c r="L385" t="n">
        <v>0.3</v>
      </c>
      <c r="M385" t="str">
        <f>IF(AND(I385&gt;=K385,I385&lt;=L385),"Yes","No")</f>
        <v>Yes</v>
      </c>
      <c r="N385" s="34">
        <f>IF(L385=0,"",I385/L385)</f>
        <v>0.7333333333</v>
      </c>
      <c r="O385" s="33" t="n">
        <v>0</v>
      </c>
      <c r="P385" t="inlineStr">
        <is>
          <t>St. Timothy Hospital</t>
        </is>
      </c>
      <c r="Q385" t="inlineStr">
        <is>
          <t>E. Sebo</t>
        </is>
      </c>
    </row>
    <row r="386">
      <c r="A386" t="inlineStr">
        <is>
          <t>WQ-2026-00383</t>
        </is>
      </c>
      <c r="B386" s="32" t="n">
        <v>46193</v>
      </c>
      <c r="C386" s="33">
        <f>MONTH(B386)</f>
        <v>6</v>
      </c>
      <c r="D386" t="inlineStr">
        <is>
          <t>Grand Cape Mount</t>
        </is>
      </c>
      <c r="E386" t="inlineStr">
        <is>
          <t>Bomi Hills - Health Facility Supply</t>
        </is>
      </c>
      <c r="F386" t="inlineStr">
        <is>
          <t>Health Facility Supply</t>
        </is>
      </c>
      <c r="G386" t="inlineStr">
        <is>
          <t>Water</t>
        </is>
      </c>
      <c r="H386" t="inlineStr">
        <is>
          <t>Manganese</t>
        </is>
      </c>
      <c r="I386" t="n">
        <v>1.07</v>
      </c>
      <c r="J386" t="inlineStr">
        <is>
          <t>mg/L</t>
        </is>
      </c>
      <c r="K386" t="n">
        <v>0</v>
      </c>
      <c r="L386" t="n">
        <v>0.4</v>
      </c>
      <c r="M386" t="str">
        <f>IF(AND(I386&gt;=K386,I386&lt;=L386),"Yes","No")</f>
        <v>No</v>
      </c>
      <c r="N386" s="34">
        <f>IF(L386=0,"",I386/L386)</f>
        <v>2.675</v>
      </c>
      <c r="O386" s="33" t="n">
        <v>4200</v>
      </c>
      <c r="P386" t="inlineStr">
        <is>
          <t>St. Timothy Hospital</t>
        </is>
      </c>
      <c r="Q386" t="inlineStr">
        <is>
          <t>P. Wleh</t>
        </is>
      </c>
    </row>
    <row r="387">
      <c r="A387" t="inlineStr">
        <is>
          <t>RD-2026-00384</t>
        </is>
      </c>
      <c r="B387" s="32" t="n">
        <v>46189</v>
      </c>
      <c r="C387" s="33">
        <f>MONTH(B387)</f>
        <v>6</v>
      </c>
      <c r="D387" t="inlineStr">
        <is>
          <t>Maryland</t>
        </is>
      </c>
      <c r="E387" t="inlineStr">
        <is>
          <t>Pleebo - Medical Facility</t>
        </is>
      </c>
      <c r="F387" t="inlineStr">
        <is>
          <t>Medical Facility</t>
        </is>
      </c>
      <c r="G387" t="inlineStr">
        <is>
          <t>Ambient Radiation</t>
        </is>
      </c>
      <c r="H387" t="inlineStr">
        <is>
          <t>Gamma Dose Rate</t>
        </is>
      </c>
      <c r="I387" t="n">
        <v>0.04</v>
      </c>
      <c r="J387" t="inlineStr">
        <is>
          <t>uSv/h</t>
        </is>
      </c>
      <c r="K387" t="n">
        <v>0</v>
      </c>
      <c r="L387" t="n">
        <v>0.3</v>
      </c>
      <c r="M387" t="str">
        <f>IF(AND(I387&gt;=K387,I387&lt;=L387),"Yes","No")</f>
        <v>Yes</v>
      </c>
      <c r="N387" s="34">
        <f>IF(L387=0,"",I387/L387)</f>
        <v>0.1333333333</v>
      </c>
      <c r="O387" s="33" t="n">
        <v>0</v>
      </c>
      <c r="P387" t="inlineStr">
        <is>
          <t>Harper Hospital</t>
        </is>
      </c>
      <c r="Q387" t="inlineStr">
        <is>
          <t>B. Kpadeh</t>
        </is>
      </c>
    </row>
    <row r="388">
      <c r="A388" t="inlineStr">
        <is>
          <t>SL-2026-00385</t>
        </is>
      </c>
      <c r="B388" s="32" t="n">
        <v>46188</v>
      </c>
      <c r="C388" s="33">
        <f>MONTH(B388)</f>
        <v>6</v>
      </c>
      <c r="D388" t="inlineStr">
        <is>
          <t>Grand Bassa</t>
        </is>
      </c>
      <c r="E388" t="inlineStr">
        <is>
          <t>St. John River - School Grounds</t>
        </is>
      </c>
      <c r="F388" t="inlineStr">
        <is>
          <t>School Grounds</t>
        </is>
      </c>
      <c r="G388" t="inlineStr">
        <is>
          <t>Soil</t>
        </is>
      </c>
      <c r="H388" t="inlineStr">
        <is>
          <t>Cadmium</t>
        </is>
      </c>
      <c r="I388" t="n">
        <v>0.5</v>
      </c>
      <c r="J388" t="inlineStr">
        <is>
          <t>mg/kg</t>
        </is>
      </c>
      <c r="K388" t="n">
        <v>0</v>
      </c>
      <c r="L388" t="n">
        <v>3</v>
      </c>
      <c r="M388" t="str">
        <f>IF(AND(I388&gt;=K388,I388&lt;=L388),"Yes","No")</f>
        <v>Yes</v>
      </c>
      <c r="N388" s="34">
        <f>IF(L388=0,"",I388/L388)</f>
        <v>0.1666666667</v>
      </c>
      <c r="O388" s="33" t="n">
        <v>2200</v>
      </c>
      <c r="P388" t="inlineStr">
        <is>
          <t>Buchanan Government Hospital</t>
        </is>
      </c>
      <c r="Q388" t="inlineStr">
        <is>
          <t>P. Wleh</t>
        </is>
      </c>
    </row>
    <row r="389">
      <c r="A389" t="inlineStr">
        <is>
          <t>AQ-2026-00386</t>
        </is>
      </c>
      <c r="B389" s="32" t="n">
        <v>46180</v>
      </c>
      <c r="C389" s="33">
        <f>MONTH(B389)</f>
        <v>6</v>
      </c>
      <c r="D389" t="inlineStr">
        <is>
          <t>Gbarpolu</t>
        </is>
      </c>
      <c r="E389" t="inlineStr">
        <is>
          <t>Kongba - Market Area</t>
        </is>
      </c>
      <c r="F389" t="inlineStr">
        <is>
          <t>Market Area</t>
        </is>
      </c>
      <c r="G389" t="inlineStr">
        <is>
          <t>Air</t>
        </is>
      </c>
      <c r="H389" t="inlineStr">
        <is>
          <t>Sulphur Dioxide (SO2)</t>
        </is>
      </c>
      <c r="I389" t="n">
        <v>86</v>
      </c>
      <c r="J389" t="inlineStr">
        <is>
          <t>ug/m3</t>
        </is>
      </c>
      <c r="K389" t="n">
        <v>0</v>
      </c>
      <c r="L389" t="n">
        <v>125</v>
      </c>
      <c r="M389" t="str">
        <f>IF(AND(I389&gt;=K389,I389&lt;=L389),"Yes","No")</f>
        <v>Yes</v>
      </c>
      <c r="N389" s="34">
        <f>IF(L389=0,"",I389/L389)</f>
        <v>0.688</v>
      </c>
      <c r="O389" s="33" t="n">
        <v>200</v>
      </c>
      <c r="P389" t="inlineStr">
        <is>
          <t>Bopolu Health Center</t>
        </is>
      </c>
      <c r="Q389" t="inlineStr">
        <is>
          <t>T. Mulbah</t>
        </is>
      </c>
    </row>
    <row r="390">
      <c r="A390" t="inlineStr">
        <is>
          <t>RD-2026-00387</t>
        </is>
      </c>
      <c r="B390" s="32" t="n">
        <v>46197</v>
      </c>
      <c r="C390" s="33">
        <f>MONTH(B390)</f>
        <v>6</v>
      </c>
      <c r="D390" t="inlineStr">
        <is>
          <t>Bong</t>
        </is>
      </c>
      <c r="E390" t="inlineStr">
        <is>
          <t>Totota - Industrial Site</t>
        </is>
      </c>
      <c r="F390" t="inlineStr">
        <is>
          <t>Industrial Site</t>
        </is>
      </c>
      <c r="G390" t="inlineStr">
        <is>
          <t>Ambient Radiation</t>
        </is>
      </c>
      <c r="H390" t="inlineStr">
        <is>
          <t>Gamma Dose Rate</t>
        </is>
      </c>
      <c r="I390" t="n">
        <v>0.11</v>
      </c>
      <c r="J390" t="inlineStr">
        <is>
          <t>uSv/h</t>
        </is>
      </c>
      <c r="K390" t="n">
        <v>0</v>
      </c>
      <c r="L390" t="n">
        <v>0.3</v>
      </c>
      <c r="M390" t="str">
        <f>IF(AND(I390&gt;=K390,I390&lt;=L390),"Yes","No")</f>
        <v>Yes</v>
      </c>
      <c r="N390" s="34">
        <f>IF(L390=0,"",I390/L390)</f>
        <v>0.3666666667</v>
      </c>
      <c r="O390" s="33" t="n">
        <v>0</v>
      </c>
      <c r="P390" t="inlineStr">
        <is>
          <t>Phebe Hospital</t>
        </is>
      </c>
      <c r="Q390" t="inlineStr">
        <is>
          <t>F. Gbato</t>
        </is>
      </c>
    </row>
    <row r="391">
      <c r="A391" t="inlineStr">
        <is>
          <t>WQ-2026-00388</t>
        </is>
      </c>
      <c r="B391" s="32" t="n">
        <v>46201</v>
      </c>
      <c r="C391" s="33">
        <f>MONTH(B391)</f>
        <v>6</v>
      </c>
      <c r="D391" t="inlineStr">
        <is>
          <t>Lofa</t>
        </is>
      </c>
      <c r="E391" t="inlineStr">
        <is>
          <t>Kolahun - Hand-Dug Well</t>
        </is>
      </c>
      <c r="F391" t="inlineStr">
        <is>
          <t>Hand-Dug Well</t>
        </is>
      </c>
      <c r="G391" t="inlineStr">
        <is>
          <t>Water</t>
        </is>
      </c>
      <c r="H391" t="inlineStr">
        <is>
          <t>Total Coliform</t>
        </is>
      </c>
      <c r="I391" t="n">
        <v>26</v>
      </c>
      <c r="J391" t="inlineStr">
        <is>
          <t>CFU/100 mL</t>
        </is>
      </c>
      <c r="K391" t="n">
        <v>0</v>
      </c>
      <c r="L391" t="n">
        <v>0</v>
      </c>
      <c r="M391" t="str">
        <f>IF(AND(I391&gt;=K391,I391&lt;=L391),"Yes","No")</f>
        <v>No</v>
      </c>
      <c r="N391" s="34">
        <f>IF(L391=0,"",I391/L391)</f>
        <v/>
      </c>
      <c r="O391" s="33" t="n">
        <v>900</v>
      </c>
      <c r="P391" t="inlineStr">
        <is>
          <t>Zorzor Hospital</t>
        </is>
      </c>
      <c r="Q391" t="inlineStr">
        <is>
          <t>A. Kollie</t>
        </is>
      </c>
    </row>
    <row r="392">
      <c r="A392" t="inlineStr">
        <is>
          <t>WQ-2026-00389</t>
        </is>
      </c>
      <c r="B392" s="32" t="n">
        <v>46183</v>
      </c>
      <c r="C392" s="33">
        <f>MONTH(B392)</f>
        <v>6</v>
      </c>
      <c r="D392" t="inlineStr">
        <is>
          <t>Nimba</t>
        </is>
      </c>
      <c r="E392" t="inlineStr">
        <is>
          <t>Saclepea - Hand-Dug Well</t>
        </is>
      </c>
      <c r="F392" t="inlineStr">
        <is>
          <t>Hand-Dug Well</t>
        </is>
      </c>
      <c r="G392" t="inlineStr">
        <is>
          <t>Water</t>
        </is>
      </c>
      <c r="H392" t="inlineStr">
        <is>
          <t>E. coli</t>
        </is>
      </c>
      <c r="I392" t="n">
        <v>23</v>
      </c>
      <c r="J392" t="inlineStr">
        <is>
          <t>CFU/100 mL</t>
        </is>
      </c>
      <c r="K392" t="n">
        <v>0</v>
      </c>
      <c r="L392" t="n">
        <v>0</v>
      </c>
      <c r="M392" t="str">
        <f>IF(AND(I392&gt;=K392,I392&lt;=L392),"Yes","No")</f>
        <v>No</v>
      </c>
      <c r="N392" s="34">
        <f>IF(L392=0,"",I392/L392)</f>
        <v/>
      </c>
      <c r="O392" s="33" t="n">
        <v>1200</v>
      </c>
      <c r="P392" t="inlineStr">
        <is>
          <t>Saclepea Health Center</t>
        </is>
      </c>
      <c r="Q392" t="inlineStr">
        <is>
          <t>M. Toe</t>
        </is>
      </c>
    </row>
    <row r="393">
      <c r="A393" t="inlineStr">
        <is>
          <t>SL-2026-00390</t>
        </is>
      </c>
      <c r="B393" s="32" t="n">
        <v>46202</v>
      </c>
      <c r="C393" s="33">
        <f>MONTH(B393)</f>
        <v>6</v>
      </c>
      <c r="D393" t="inlineStr">
        <is>
          <t>Bong</t>
        </is>
      </c>
      <c r="E393" t="inlineStr">
        <is>
          <t>Salala - Dumpsite Perimeter</t>
        </is>
      </c>
      <c r="F393" t="inlineStr">
        <is>
          <t>Dumpsite Perimeter</t>
        </is>
      </c>
      <c r="G393" t="inlineStr">
        <is>
          <t>Soil</t>
        </is>
      </c>
      <c r="H393" t="inlineStr">
        <is>
          <t>Mercury</t>
        </is>
      </c>
      <c r="I393" t="n">
        <v>0.5</v>
      </c>
      <c r="J393" t="inlineStr">
        <is>
          <t>mg/kg</t>
        </is>
      </c>
      <c r="K393" t="n">
        <v>0</v>
      </c>
      <c r="L393" t="n">
        <v>1</v>
      </c>
      <c r="M393" t="str">
        <f>IF(AND(I393&gt;=K393,I393&lt;=L393),"Yes","No")</f>
        <v>Yes</v>
      </c>
      <c r="N393" s="34">
        <f>IF(L393=0,"",I393/L393)</f>
        <v>0.5</v>
      </c>
      <c r="O393" s="33" t="n">
        <v>3500</v>
      </c>
      <c r="P393" t="inlineStr">
        <is>
          <t>Phebe Hospital</t>
        </is>
      </c>
      <c r="Q393" t="inlineStr">
        <is>
          <t>P. Wleh</t>
        </is>
      </c>
    </row>
    <row r="394">
      <c r="A394" t="inlineStr">
        <is>
          <t>WQ-2026-00391</t>
        </is>
      </c>
      <c r="B394" s="32" t="n">
        <v>46182</v>
      </c>
      <c r="C394" s="33">
        <f>MONTH(B394)</f>
        <v>6</v>
      </c>
      <c r="D394" t="inlineStr">
        <is>
          <t>Gbarpolu</t>
        </is>
      </c>
      <c r="E394" t="inlineStr">
        <is>
          <t>Kongba - Community Borehole</t>
        </is>
      </c>
      <c r="F394" t="inlineStr">
        <is>
          <t>Community Borehole</t>
        </is>
      </c>
      <c r="G394" t="inlineStr">
        <is>
          <t>Water</t>
        </is>
      </c>
      <c r="H394" t="inlineStr">
        <is>
          <t>Lead</t>
        </is>
      </c>
      <c r="I394" t="n">
        <v>0.0186</v>
      </c>
      <c r="J394" t="inlineStr">
        <is>
          <t>mg/L</t>
        </is>
      </c>
      <c r="K394" t="n">
        <v>0</v>
      </c>
      <c r="L394" t="n">
        <v>0.01</v>
      </c>
      <c r="M394" t="str">
        <f>IF(AND(I394&gt;=K394,I394&lt;=L394),"Yes","No")</f>
        <v>No</v>
      </c>
      <c r="N394" s="34">
        <f>IF(L394=0,"",I394/L394)</f>
        <v>1.86</v>
      </c>
      <c r="O394" s="33" t="n">
        <v>350</v>
      </c>
      <c r="P394" t="inlineStr">
        <is>
          <t>Bopolu Health Center</t>
        </is>
      </c>
      <c r="Q394" t="inlineStr">
        <is>
          <t>T. Mulbah</t>
        </is>
      </c>
    </row>
    <row r="395">
      <c r="A395" t="inlineStr">
        <is>
          <t>WQ-2026-00392</t>
        </is>
      </c>
      <c r="B395" s="32" t="n">
        <v>46175</v>
      </c>
      <c r="C395" s="33">
        <f>MONTH(B395)</f>
        <v>6</v>
      </c>
      <c r="D395" t="inlineStr">
        <is>
          <t>Margibi</t>
        </is>
      </c>
      <c r="E395" t="inlineStr">
        <is>
          <t>Weala - River / Stream Intake</t>
        </is>
      </c>
      <c r="F395" t="inlineStr">
        <is>
          <t>River / Stream Intake</t>
        </is>
      </c>
      <c r="G395" t="inlineStr">
        <is>
          <t>Water</t>
        </is>
      </c>
      <c r="H395" t="inlineStr">
        <is>
          <t>Manganese</t>
        </is>
      </c>
      <c r="I395" t="n">
        <v>0.01</v>
      </c>
      <c r="J395" t="inlineStr">
        <is>
          <t>mg/L</t>
        </is>
      </c>
      <c r="K395" t="n">
        <v>0</v>
      </c>
      <c r="L395" t="n">
        <v>0.4</v>
      </c>
      <c r="M395" t="str">
        <f>IF(AND(I395&gt;=K395,I395&lt;=L395),"Yes","No")</f>
        <v>Yes</v>
      </c>
      <c r="N395" s="34">
        <f>IF(L395=0,"",I395/L395)</f>
        <v>0.025</v>
      </c>
      <c r="O395" s="33" t="n">
        <v>750</v>
      </c>
      <c r="P395" t="inlineStr">
        <is>
          <t>C.H. Rennie Hospital</t>
        </is>
      </c>
      <c r="Q395" t="inlineStr">
        <is>
          <t>M. Toe</t>
        </is>
      </c>
    </row>
    <row r="396">
      <c r="A396" t="inlineStr">
        <is>
          <t>WQ-2026-00393</t>
        </is>
      </c>
      <c r="B396" s="32" t="n">
        <v>46193</v>
      </c>
      <c r="C396" s="33">
        <f>MONTH(B396)</f>
        <v>6</v>
      </c>
      <c r="D396" t="inlineStr">
        <is>
          <t>Grand Bassa</t>
        </is>
      </c>
      <c r="E396" t="inlineStr">
        <is>
          <t>Buchanan - School Water Point</t>
        </is>
      </c>
      <c r="F396" t="inlineStr">
        <is>
          <t>School Water Point</t>
        </is>
      </c>
      <c r="G396" t="inlineStr">
        <is>
          <t>Water</t>
        </is>
      </c>
      <c r="H396" t="inlineStr">
        <is>
          <t>Total Coliform</t>
        </is>
      </c>
      <c r="I396" t="n">
        <v>2</v>
      </c>
      <c r="J396" t="inlineStr">
        <is>
          <t>CFU/100 mL</t>
        </is>
      </c>
      <c r="K396" t="n">
        <v>0</v>
      </c>
      <c r="L396" t="n">
        <v>0</v>
      </c>
      <c r="M396" t="str">
        <f>IF(AND(I396&gt;=K396,I396&lt;=L396),"Yes","No")</f>
        <v>No</v>
      </c>
      <c r="N396" s="34">
        <f>IF(L396=0,"",I396/L396)</f>
        <v/>
      </c>
      <c r="O396" s="33" t="n">
        <v>240</v>
      </c>
      <c r="P396" t="inlineStr">
        <is>
          <t>Edina Health Center</t>
        </is>
      </c>
      <c r="Q396" t="inlineStr">
        <is>
          <t>M. Toe</t>
        </is>
      </c>
    </row>
    <row r="397">
      <c r="A397" t="inlineStr">
        <is>
          <t>WQ-2026-00394</t>
        </is>
      </c>
      <c r="B397" s="32" t="n">
        <v>46195</v>
      </c>
      <c r="C397" s="33">
        <f>MONTH(B397)</f>
        <v>6</v>
      </c>
      <c r="D397" t="inlineStr">
        <is>
          <t>Grand Bassa</t>
        </is>
      </c>
      <c r="E397" t="inlineStr">
        <is>
          <t>Buchanan - Health Facility Supply</t>
        </is>
      </c>
      <c r="F397" t="inlineStr">
        <is>
          <t>Health Facility Supply</t>
        </is>
      </c>
      <c r="G397" t="inlineStr">
        <is>
          <t>Water</t>
        </is>
      </c>
      <c r="H397" t="inlineStr">
        <is>
          <t>E. coli</t>
        </is>
      </c>
      <c r="I397" t="n">
        <v>44</v>
      </c>
      <c r="J397" t="inlineStr">
        <is>
          <t>CFU/100 mL</t>
        </is>
      </c>
      <c r="K397" t="n">
        <v>0</v>
      </c>
      <c r="L397" t="n">
        <v>0</v>
      </c>
      <c r="M397" t="str">
        <f>IF(AND(I397&gt;=K397,I397&lt;=L397),"Yes","No")</f>
        <v>No</v>
      </c>
      <c r="N397" s="34">
        <f>IF(L397=0,"",I397/L397)</f>
        <v/>
      </c>
      <c r="O397" s="33" t="n">
        <v>240</v>
      </c>
      <c r="P397" t="inlineStr">
        <is>
          <t>Buchanan Government Hospital</t>
        </is>
      </c>
      <c r="Q397" t="inlineStr">
        <is>
          <t>J. Nyeman</t>
        </is>
      </c>
    </row>
    <row r="398">
      <c r="A398" t="inlineStr">
        <is>
          <t>AQ-2026-00395</t>
        </is>
      </c>
      <c r="B398" s="32" t="n">
        <v>46182</v>
      </c>
      <c r="C398" s="33">
        <f>MONTH(B398)</f>
        <v>6</v>
      </c>
      <c r="D398" t="inlineStr">
        <is>
          <t>Montserrado</t>
        </is>
      </c>
      <c r="E398" t="inlineStr">
        <is>
          <t>Liberia Petroleum Refinery</t>
        </is>
      </c>
      <c r="F398" t="inlineStr">
        <is>
          <t>Industrial Perimeter</t>
        </is>
      </c>
      <c r="G398" t="inlineStr">
        <is>
          <t>Air</t>
        </is>
      </c>
      <c r="H398" t="inlineStr">
        <is>
          <t>PM2.5</t>
        </is>
      </c>
      <c r="I398" t="n">
        <v>9.9</v>
      </c>
      <c r="J398" t="inlineStr">
        <is>
          <t>ug/m3</t>
        </is>
      </c>
      <c r="K398" t="n">
        <v>0</v>
      </c>
      <c r="L398" t="n">
        <v>25</v>
      </c>
      <c r="M398" t="str">
        <f>IF(AND(I398&gt;=K398,I398&lt;=L398),"Yes","No")</f>
        <v>Yes</v>
      </c>
      <c r="N398" s="34">
        <f>IF(L398=0,"",I398/L398)</f>
        <v>0.396</v>
      </c>
      <c r="O398" s="33" t="n">
        <v>1500</v>
      </c>
      <c r="P398" t="inlineStr">
        <is>
          <t>Benson Hospital</t>
        </is>
      </c>
      <c r="Q398" t="inlineStr">
        <is>
          <t>F. Gbato</t>
        </is>
      </c>
    </row>
    <row r="399">
      <c r="A399" t="inlineStr">
        <is>
          <t>SL-2026-00396</t>
        </is>
      </c>
      <c r="B399" s="32" t="n">
        <v>46190</v>
      </c>
      <c r="C399" s="33">
        <f>MONTH(B399)</f>
        <v>6</v>
      </c>
      <c r="D399" t="inlineStr">
        <is>
          <t>Lofa</t>
        </is>
      </c>
      <c r="E399" t="inlineStr">
        <is>
          <t>Zorzor - Industrial Site</t>
        </is>
      </c>
      <c r="F399" t="inlineStr">
        <is>
          <t>Industrial Site</t>
        </is>
      </c>
      <c r="G399" t="inlineStr">
        <is>
          <t>Soil</t>
        </is>
      </c>
      <c r="H399" t="inlineStr">
        <is>
          <t>Mercury</t>
        </is>
      </c>
      <c r="I399" t="n">
        <v>1.9</v>
      </c>
      <c r="J399" t="inlineStr">
        <is>
          <t>mg/kg</t>
        </is>
      </c>
      <c r="K399" t="n">
        <v>0</v>
      </c>
      <c r="L399" t="n">
        <v>1</v>
      </c>
      <c r="M399" t="str">
        <f>IF(AND(I399&gt;=K399,I399&lt;=L399),"Yes","No")</f>
        <v>No</v>
      </c>
      <c r="N399" s="34">
        <f>IF(L399=0,"",I399/L399)</f>
        <v>1.9</v>
      </c>
      <c r="O399" s="33" t="n">
        <v>3500</v>
      </c>
      <c r="P399" t="inlineStr">
        <is>
          <t>Zorzor Hospital</t>
        </is>
      </c>
      <c r="Q399" t="inlineStr">
        <is>
          <t>A. Kollie</t>
        </is>
      </c>
    </row>
    <row r="400">
      <c r="A400" t="inlineStr">
        <is>
          <t>WQ-2026-00397</t>
        </is>
      </c>
      <c r="B400" s="32" t="n">
        <v>46182</v>
      </c>
      <c r="C400" s="33">
        <f>MONTH(B400)</f>
        <v>6</v>
      </c>
      <c r="D400" t="inlineStr">
        <is>
          <t>Grand Bassa</t>
        </is>
      </c>
      <c r="E400" t="inlineStr">
        <is>
          <t>St. John River - Hand-Dug Well</t>
        </is>
      </c>
      <c r="F400" t="inlineStr">
        <is>
          <t>Hand-Dug Well</t>
        </is>
      </c>
      <c r="G400" t="inlineStr">
        <is>
          <t>Water</t>
        </is>
      </c>
      <c r="H400" t="inlineStr">
        <is>
          <t>Turbidity</t>
        </is>
      </c>
      <c r="I400" t="n">
        <v>10</v>
      </c>
      <c r="J400" t="inlineStr">
        <is>
          <t>NTU</t>
        </is>
      </c>
      <c r="K400" t="n">
        <v>0</v>
      </c>
      <c r="L400" t="n">
        <v>5</v>
      </c>
      <c r="M400" t="str">
        <f>IF(AND(I400&gt;=K400,I400&lt;=L400),"Yes","No")</f>
        <v>No</v>
      </c>
      <c r="N400" s="34">
        <f>IF(L400=0,"",I400/L400)</f>
        <v>2</v>
      </c>
      <c r="O400" s="33" t="n">
        <v>900</v>
      </c>
      <c r="P400" t="inlineStr">
        <is>
          <t>Buchanan Government Hospital</t>
        </is>
      </c>
      <c r="Q400" t="inlineStr">
        <is>
          <t>F. Gbato</t>
        </is>
      </c>
    </row>
    <row r="401">
      <c r="A401" t="inlineStr">
        <is>
          <t>AQ-2026-00398</t>
        </is>
      </c>
      <c r="B401" s="32" t="n">
        <v>46191</v>
      </c>
      <c r="C401" s="33">
        <f>MONTH(B401)</f>
        <v>6</v>
      </c>
      <c r="D401" t="inlineStr">
        <is>
          <t>Montserrado</t>
        </is>
      </c>
      <c r="E401" t="inlineStr">
        <is>
          <t>Paynesville - Urban Roadside</t>
        </is>
      </c>
      <c r="F401" t="inlineStr">
        <is>
          <t>Urban Roadside</t>
        </is>
      </c>
      <c r="G401" t="inlineStr">
        <is>
          <t>Air</t>
        </is>
      </c>
      <c r="H401" t="inlineStr">
        <is>
          <t>PM2.5</t>
        </is>
      </c>
      <c r="I401" t="n">
        <v>15.6</v>
      </c>
      <c r="J401" t="inlineStr">
        <is>
          <t>ug/m3</t>
        </is>
      </c>
      <c r="K401" t="n">
        <v>0</v>
      </c>
      <c r="L401" t="n">
        <v>25</v>
      </c>
      <c r="M401" t="str">
        <f>IF(AND(I401&gt;=K401,I401&lt;=L401),"Yes","No")</f>
        <v>Yes</v>
      </c>
      <c r="N401" s="34">
        <f>IF(L401=0,"",I401/L401)</f>
        <v>0.624</v>
      </c>
      <c r="O401" s="33" t="n">
        <v>800</v>
      </c>
      <c r="P401" t="inlineStr">
        <is>
          <t>Benson Hospital</t>
        </is>
      </c>
      <c r="Q401" t="inlineStr">
        <is>
          <t>E. Sebo</t>
        </is>
      </c>
    </row>
    <row r="402">
      <c r="A402" t="inlineStr">
        <is>
          <t>AQ-2026-00399</t>
        </is>
      </c>
      <c r="B402" s="32" t="n">
        <v>46187</v>
      </c>
      <c r="C402" s="33">
        <f>MONTH(B402)</f>
        <v>6</v>
      </c>
      <c r="D402" t="inlineStr">
        <is>
          <t>Sinoe</t>
        </is>
      </c>
      <c r="E402" t="inlineStr">
        <is>
          <t>Juazon - Dumpsite Perimeter</t>
        </is>
      </c>
      <c r="F402" t="inlineStr">
        <is>
          <t>Dumpsite Perimeter</t>
        </is>
      </c>
      <c r="G402" t="inlineStr">
        <is>
          <t>Air</t>
        </is>
      </c>
      <c r="H402" t="inlineStr">
        <is>
          <t>PM2.5</t>
        </is>
      </c>
      <c r="I402" t="n">
        <v>59.9</v>
      </c>
      <c r="J402" t="inlineStr">
        <is>
          <t>ug/m3</t>
        </is>
      </c>
      <c r="K402" t="n">
        <v>0</v>
      </c>
      <c r="L402" t="n">
        <v>25</v>
      </c>
      <c r="M402" t="str">
        <f>IF(AND(I402&gt;=K402,I402&lt;=L402),"Yes","No")</f>
        <v>No</v>
      </c>
      <c r="N402" s="34">
        <f>IF(L402=0,"",I402/L402)</f>
        <v>2.396</v>
      </c>
      <c r="O402" s="33" t="n">
        <v>1500</v>
      </c>
      <c r="P402" t="inlineStr">
        <is>
          <t>F.J. Grante Hospital</t>
        </is>
      </c>
      <c r="Q402" t="inlineStr">
        <is>
          <t>A. Kollie</t>
        </is>
      </c>
    </row>
    <row r="403">
      <c r="A403" t="inlineStr">
        <is>
          <t>SL-2026-00400</t>
        </is>
      </c>
      <c r="B403" s="32" t="n">
        <v>46186</v>
      </c>
      <c r="C403" s="33">
        <f>MONTH(B403)</f>
        <v>6</v>
      </c>
      <c r="D403" t="inlineStr">
        <is>
          <t>Nimba</t>
        </is>
      </c>
      <c r="E403" t="inlineStr">
        <is>
          <t>Firestone Rubber Plantation</t>
        </is>
      </c>
      <c r="F403" t="inlineStr">
        <is>
          <t>Industrial Perimeter</t>
        </is>
      </c>
      <c r="G403" t="inlineStr">
        <is>
          <t>Soil</t>
        </is>
      </c>
      <c r="H403" t="inlineStr">
        <is>
          <t>Cadmium</t>
        </is>
      </c>
      <c r="I403" t="n">
        <v>2.5</v>
      </c>
      <c r="J403" t="inlineStr">
        <is>
          <t>mg/kg</t>
        </is>
      </c>
      <c r="K403" t="n">
        <v>0</v>
      </c>
      <c r="L403" t="n">
        <v>3</v>
      </c>
      <c r="M403" t="str">
        <f>IF(AND(I403&gt;=K403,I403&lt;=L403),"Yes","No")</f>
        <v>Yes</v>
      </c>
      <c r="N403" s="34">
        <f>IF(L403=0,"",I403/L403)</f>
        <v>0.8333333333</v>
      </c>
      <c r="O403" s="33" t="n">
        <v>0</v>
      </c>
      <c r="P403" t="inlineStr">
        <is>
          <t>Saclepea Health Center</t>
        </is>
      </c>
      <c r="Q403" t="inlineStr">
        <is>
          <t>F. Gbato</t>
        </is>
      </c>
    </row>
    <row r="404">
      <c r="A404" t="inlineStr">
        <is>
          <t>SL-2026-00401</t>
        </is>
      </c>
      <c r="B404" s="32" t="n">
        <v>46183</v>
      </c>
      <c r="C404" s="33">
        <f>MONTH(B404)</f>
        <v>6</v>
      </c>
      <c r="D404" t="inlineStr">
        <is>
          <t>Bong</t>
        </is>
      </c>
      <c r="E404" t="inlineStr">
        <is>
          <t>Firestone Rubber Plantation</t>
        </is>
      </c>
      <c r="F404" t="inlineStr">
        <is>
          <t>Industrial Perimeter</t>
        </is>
      </c>
      <c r="G404" t="inlineStr">
        <is>
          <t>Soil</t>
        </is>
      </c>
      <c r="H404" t="inlineStr">
        <is>
          <t>Cadmium</t>
        </is>
      </c>
      <c r="I404" t="n">
        <v>1.1</v>
      </c>
      <c r="J404" t="inlineStr">
        <is>
          <t>mg/kg</t>
        </is>
      </c>
      <c r="K404" t="n">
        <v>0</v>
      </c>
      <c r="L404" t="n">
        <v>3</v>
      </c>
      <c r="M404" t="str">
        <f>IF(AND(I404&gt;=K404,I404&lt;=L404),"Yes","No")</f>
        <v>Yes</v>
      </c>
      <c r="N404" s="34">
        <f>IF(L404=0,"",I404/L404)</f>
        <v>0.3666666667</v>
      </c>
      <c r="O404" s="33" t="n">
        <v>0</v>
      </c>
      <c r="P404" t="inlineStr">
        <is>
          <t>Gbarnga Health Center</t>
        </is>
      </c>
      <c r="Q404" t="inlineStr">
        <is>
          <t>E. Sebo</t>
        </is>
      </c>
    </row>
    <row r="405">
      <c r="A405" t="inlineStr">
        <is>
          <t>AQ-2026-00402</t>
        </is>
      </c>
      <c r="B405" s="32" t="n">
        <v>46195</v>
      </c>
      <c r="C405" s="33">
        <f>MONTH(B405)</f>
        <v>6</v>
      </c>
      <c r="D405" t="inlineStr">
        <is>
          <t>Nimba</t>
        </is>
      </c>
      <c r="E405" t="inlineStr">
        <is>
          <t>Butuo - Dumpsite Perimeter</t>
        </is>
      </c>
      <c r="F405" t="inlineStr">
        <is>
          <t>Dumpsite Perimeter</t>
        </is>
      </c>
      <c r="G405" t="inlineStr">
        <is>
          <t>Air</t>
        </is>
      </c>
      <c r="H405" t="inlineStr">
        <is>
          <t>Sulphur Dioxide (SO2)</t>
        </is>
      </c>
      <c r="I405" t="n">
        <v>57</v>
      </c>
      <c r="J405" t="inlineStr">
        <is>
          <t>ug/m3</t>
        </is>
      </c>
      <c r="K405" t="n">
        <v>0</v>
      </c>
      <c r="L405" t="n">
        <v>125</v>
      </c>
      <c r="M405" t="str">
        <f>IF(AND(I405&gt;=K405,I405&lt;=L405),"Yes","No")</f>
        <v>Yes</v>
      </c>
      <c r="N405" s="34">
        <f>IF(L405=0,"",I405/L405)</f>
        <v>0.456</v>
      </c>
      <c r="O405" s="33" t="n">
        <v>1500</v>
      </c>
      <c r="P405" t="inlineStr">
        <is>
          <t>Ganta United Methodist Hospital</t>
        </is>
      </c>
      <c r="Q405" t="inlineStr">
        <is>
          <t>M. Toe</t>
        </is>
      </c>
    </row>
    <row r="406">
      <c r="A406" t="inlineStr">
        <is>
          <t>WQ-2026-00403</t>
        </is>
      </c>
      <c r="B406" s="32" t="n">
        <v>46196</v>
      </c>
      <c r="C406" s="33">
        <f>MONTH(B406)</f>
        <v>6</v>
      </c>
      <c r="D406" t="inlineStr">
        <is>
          <t>Bomi</t>
        </is>
      </c>
      <c r="E406" t="inlineStr">
        <is>
          <t>Suehn-Mecca - River / Stream Intake</t>
        </is>
      </c>
      <c r="F406" t="inlineStr">
        <is>
          <t>River / Stream Intake</t>
        </is>
      </c>
      <c r="G406" t="inlineStr">
        <is>
          <t>Water</t>
        </is>
      </c>
      <c r="H406" t="inlineStr">
        <is>
          <t>Arsenic</t>
        </is>
      </c>
      <c r="I406" t="n">
        <v>0.007</v>
      </c>
      <c r="J406" t="inlineStr">
        <is>
          <t>mg/L</t>
        </is>
      </c>
      <c r="K406" t="n">
        <v>0</v>
      </c>
      <c r="L406" t="n">
        <v>0.01</v>
      </c>
      <c r="M406" t="str">
        <f>IF(AND(I406&gt;=K406,I406&lt;=L406),"Yes","No")</f>
        <v>Yes</v>
      </c>
      <c r="N406" s="34">
        <f>IF(L406=0,"",I406/L406)</f>
        <v>0.7</v>
      </c>
      <c r="O406" s="33" t="n">
        <v>240</v>
      </c>
      <c r="P406" t="inlineStr">
        <is>
          <t>Bomi County Health Center</t>
        </is>
      </c>
      <c r="Q406" t="inlineStr">
        <is>
          <t>B. Kpadeh</t>
        </is>
      </c>
    </row>
    <row r="407">
      <c r="A407" t="inlineStr">
        <is>
          <t>WQ-2026-00404</t>
        </is>
      </c>
      <c r="B407" s="32" t="n">
        <v>46230</v>
      </c>
      <c r="C407" s="33">
        <f>MONTH(B407)</f>
        <v>7</v>
      </c>
      <c r="D407" t="inlineStr">
        <is>
          <t>Margibi</t>
        </is>
      </c>
      <c r="E407" t="inlineStr">
        <is>
          <t>Harbel - Public Tap Stand</t>
        </is>
      </c>
      <c r="F407" t="inlineStr">
        <is>
          <t>Public Tap Stand</t>
        </is>
      </c>
      <c r="G407" t="inlineStr">
        <is>
          <t>Water</t>
        </is>
      </c>
      <c r="H407" t="inlineStr">
        <is>
          <t>Turbidity</t>
        </is>
      </c>
      <c r="I407" t="n">
        <v>5.6</v>
      </c>
      <c r="J407" t="inlineStr">
        <is>
          <t>NTU</t>
        </is>
      </c>
      <c r="K407" t="n">
        <v>0</v>
      </c>
      <c r="L407" t="n">
        <v>5</v>
      </c>
      <c r="M407" t="str">
        <f>IF(AND(I407&gt;=K407,I407&lt;=L407),"Yes","No")</f>
        <v>No</v>
      </c>
      <c r="N407" s="34">
        <f>IF(L407=0,"",I407/L407)</f>
        <v>1.12</v>
      </c>
      <c r="O407" s="33" t="n">
        <v>1800</v>
      </c>
      <c r="P407" t="inlineStr">
        <is>
          <t>Harbel Health Center</t>
        </is>
      </c>
      <c r="Q407" t="inlineStr">
        <is>
          <t>E. Sebo</t>
        </is>
      </c>
    </row>
    <row r="408">
      <c r="A408" t="inlineStr">
        <is>
          <t>WQ-2026-00405</t>
        </is>
      </c>
      <c r="B408" s="32" t="n">
        <v>46217</v>
      </c>
      <c r="C408" s="33">
        <f>MONTH(B408)</f>
        <v>7</v>
      </c>
      <c r="D408" t="inlineStr">
        <is>
          <t>Bong</t>
        </is>
      </c>
      <c r="E408" t="inlineStr">
        <is>
          <t>Palala - School Water Point</t>
        </is>
      </c>
      <c r="F408" t="inlineStr">
        <is>
          <t>School Water Point</t>
        </is>
      </c>
      <c r="G408" t="inlineStr">
        <is>
          <t>Water</t>
        </is>
      </c>
      <c r="H408" t="inlineStr">
        <is>
          <t>Lead</t>
        </is>
      </c>
      <c r="I408" t="n">
        <v>0.0266</v>
      </c>
      <c r="J408" t="inlineStr">
        <is>
          <t>mg/L</t>
        </is>
      </c>
      <c r="K408" t="n">
        <v>0</v>
      </c>
      <c r="L408" t="n">
        <v>0.01</v>
      </c>
      <c r="M408" t="str">
        <f>IF(AND(I408&gt;=K408,I408&lt;=L408),"Yes","No")</f>
        <v>No</v>
      </c>
      <c r="N408" s="34">
        <f>IF(L408=0,"",I408/L408)</f>
        <v>2.66</v>
      </c>
      <c r="O408" s="33" t="n">
        <v>4200</v>
      </c>
      <c r="P408" t="inlineStr">
        <is>
          <t>Phebe Hospital</t>
        </is>
      </c>
      <c r="Q408" t="inlineStr">
        <is>
          <t>J. Nyeman</t>
        </is>
      </c>
    </row>
    <row r="409">
      <c r="A409" t="inlineStr">
        <is>
          <t>SL-2026-00406</t>
        </is>
      </c>
      <c r="B409" s="32" t="n">
        <v>46225</v>
      </c>
      <c r="C409" s="33">
        <f>MONTH(B409)</f>
        <v>7</v>
      </c>
      <c r="D409" t="inlineStr">
        <is>
          <t>Grand Bassa</t>
        </is>
      </c>
      <c r="E409" t="inlineStr">
        <is>
          <t>Firestone Rubber Plantation</t>
        </is>
      </c>
      <c r="F409" t="inlineStr">
        <is>
          <t>Industrial Perimeter</t>
        </is>
      </c>
      <c r="G409" t="inlineStr">
        <is>
          <t>Soil</t>
        </is>
      </c>
      <c r="H409" t="inlineStr">
        <is>
          <t>Mercury</t>
        </is>
      </c>
      <c r="I409" t="n">
        <v>0.7</v>
      </c>
      <c r="J409" t="inlineStr">
        <is>
          <t>mg/kg</t>
        </is>
      </c>
      <c r="K409" t="n">
        <v>0</v>
      </c>
      <c r="L409" t="n">
        <v>1</v>
      </c>
      <c r="M409" t="str">
        <f>IF(AND(I409&gt;=K409,I409&lt;=L409),"Yes","No")</f>
        <v>Yes</v>
      </c>
      <c r="N409" s="34">
        <f>IF(L409=0,"",I409/L409)</f>
        <v>0.7</v>
      </c>
      <c r="O409" s="33" t="n">
        <v>1500</v>
      </c>
      <c r="P409" t="inlineStr">
        <is>
          <t>Buchanan Government Hospital</t>
        </is>
      </c>
      <c r="Q409" t="inlineStr">
        <is>
          <t>A. Kollie</t>
        </is>
      </c>
    </row>
    <row r="410">
      <c r="A410" t="inlineStr">
        <is>
          <t>WQ-2026-00407</t>
        </is>
      </c>
      <c r="B410" s="32" t="n">
        <v>46217</v>
      </c>
      <c r="C410" s="33">
        <f>MONTH(B410)</f>
        <v>7</v>
      </c>
      <c r="D410" t="inlineStr">
        <is>
          <t>Montserrado</t>
        </is>
      </c>
      <c r="E410" t="inlineStr">
        <is>
          <t>Caldwell - Community Borehole</t>
        </is>
      </c>
      <c r="F410" t="inlineStr">
        <is>
          <t>Community Borehole</t>
        </is>
      </c>
      <c r="G410" t="inlineStr">
        <is>
          <t>Water</t>
        </is>
      </c>
      <c r="H410" t="inlineStr">
        <is>
          <t>E. coli</t>
        </is>
      </c>
      <c r="I410" t="n">
        <v>0</v>
      </c>
      <c r="J410" t="inlineStr">
        <is>
          <t>CFU/100 mL</t>
        </is>
      </c>
      <c r="K410" t="n">
        <v>0</v>
      </c>
      <c r="L410" t="n">
        <v>0</v>
      </c>
      <c r="M410" t="str">
        <f>IF(AND(I410&gt;=K410,I410&lt;=L410),"Yes","No")</f>
        <v>Yes</v>
      </c>
      <c r="N410" s="34">
        <f>IF(L410=0,"",I410/L410)</f>
        <v/>
      </c>
      <c r="O410" s="33" t="n">
        <v>900</v>
      </c>
      <c r="P410" t="inlineStr">
        <is>
          <t>JFK Memorial Hospital</t>
        </is>
      </c>
      <c r="Q410" t="inlineStr">
        <is>
          <t>E. Sebo</t>
        </is>
      </c>
    </row>
    <row r="411">
      <c r="A411" t="inlineStr">
        <is>
          <t>WQ-2026-00408</t>
        </is>
      </c>
      <c r="B411" s="32" t="n">
        <v>46226</v>
      </c>
      <c r="C411" s="33">
        <f>MONTH(B411)</f>
        <v>7</v>
      </c>
      <c r="D411" t="inlineStr">
        <is>
          <t>Montserrado</t>
        </is>
      </c>
      <c r="E411" t="inlineStr">
        <is>
          <t>New Kru Town - Hand-Dug Well</t>
        </is>
      </c>
      <c r="F411" t="inlineStr">
        <is>
          <t>Hand-Dug Well</t>
        </is>
      </c>
      <c r="G411" t="inlineStr">
        <is>
          <t>Water</t>
        </is>
      </c>
      <c r="H411" t="inlineStr">
        <is>
          <t>Total Coliform</t>
        </is>
      </c>
      <c r="I411" t="n">
        <v>10</v>
      </c>
      <c r="J411" t="inlineStr">
        <is>
          <t>CFU/100 mL</t>
        </is>
      </c>
      <c r="K411" t="n">
        <v>0</v>
      </c>
      <c r="L411" t="n">
        <v>0</v>
      </c>
      <c r="M411" t="str">
        <f>IF(AND(I411&gt;=K411,I411&lt;=L411),"Yes","No")</f>
        <v>No</v>
      </c>
      <c r="N411" s="34">
        <f>IF(L411=0,"",I411/L411)</f>
        <v/>
      </c>
      <c r="O411" s="33" t="n">
        <v>120</v>
      </c>
      <c r="P411" t="inlineStr">
        <is>
          <t>Redemption Hospital</t>
        </is>
      </c>
      <c r="Q411" t="inlineStr">
        <is>
          <t>J. Nyeman</t>
        </is>
      </c>
    </row>
    <row r="412">
      <c r="A412" t="inlineStr">
        <is>
          <t>AQ-2026-00409</t>
        </is>
      </c>
      <c r="B412" s="32" t="n">
        <v>46223</v>
      </c>
      <c r="C412" s="33">
        <f>MONTH(B412)</f>
        <v>7</v>
      </c>
      <c r="D412" t="inlineStr">
        <is>
          <t>Montserrado</t>
        </is>
      </c>
      <c r="E412" t="inlineStr">
        <is>
          <t>West Point - Dumpsite Perimeter</t>
        </is>
      </c>
      <c r="F412" t="inlineStr">
        <is>
          <t>Dumpsite Perimeter</t>
        </is>
      </c>
      <c r="G412" t="inlineStr">
        <is>
          <t>Air</t>
        </is>
      </c>
      <c r="H412" t="inlineStr">
        <is>
          <t>Sulphur Dioxide (SO2)</t>
        </is>
      </c>
      <c r="I412" t="n">
        <v>24</v>
      </c>
      <c r="J412" t="inlineStr">
        <is>
          <t>ug/m3</t>
        </is>
      </c>
      <c r="K412" t="n">
        <v>0</v>
      </c>
      <c r="L412" t="n">
        <v>125</v>
      </c>
      <c r="M412" t="str">
        <f>IF(AND(I412&gt;=K412,I412&lt;=L412),"Yes","No")</f>
        <v>Yes</v>
      </c>
      <c r="N412" s="34">
        <f>IF(L412=0,"",I412/L412)</f>
        <v>0.192</v>
      </c>
      <c r="O412" s="33" t="n">
        <v>6000</v>
      </c>
      <c r="P412" t="inlineStr">
        <is>
          <t>JFK Memorial Hospital</t>
        </is>
      </c>
      <c r="Q412" t="inlineStr">
        <is>
          <t>F. Gbato</t>
        </is>
      </c>
    </row>
    <row r="413">
      <c r="A413" t="inlineStr">
        <is>
          <t>AQ-2026-00410</t>
        </is>
      </c>
      <c r="B413" s="32" t="n">
        <v>46213</v>
      </c>
      <c r="C413" s="33">
        <f>MONTH(B413)</f>
        <v>7</v>
      </c>
      <c r="D413" t="inlineStr">
        <is>
          <t>Grand Gedeh</t>
        </is>
      </c>
      <c r="E413" t="inlineStr">
        <is>
          <t>B'hai - Urban Roadside</t>
        </is>
      </c>
      <c r="F413" t="inlineStr">
        <is>
          <t>Urban Roadside</t>
        </is>
      </c>
      <c r="G413" t="inlineStr">
        <is>
          <t>Air</t>
        </is>
      </c>
      <c r="H413" t="inlineStr">
        <is>
          <t>PM10</t>
        </is>
      </c>
      <c r="I413" t="n">
        <v>17</v>
      </c>
      <c r="J413" t="inlineStr">
        <is>
          <t>ug/m3</t>
        </is>
      </c>
      <c r="K413" t="n">
        <v>0</v>
      </c>
      <c r="L413" t="n">
        <v>50</v>
      </c>
      <c r="M413" t="str">
        <f>IF(AND(I413&gt;=K413,I413&lt;=L413),"Yes","No")</f>
        <v>Yes</v>
      </c>
      <c r="N413" s="34">
        <f>IF(L413=0,"",I413/L413)</f>
        <v>0.34</v>
      </c>
      <c r="O413" s="33" t="n">
        <v>800</v>
      </c>
      <c r="P413" t="inlineStr">
        <is>
          <t>Zwedru Health Center</t>
        </is>
      </c>
      <c r="Q413" t="inlineStr">
        <is>
          <t>J. Nyeman</t>
        </is>
      </c>
    </row>
    <row r="414">
      <c r="A414" t="inlineStr">
        <is>
          <t>RD-2026-00411</t>
        </is>
      </c>
      <c r="B414" s="32" t="n">
        <v>46228</v>
      </c>
      <c r="C414" s="33">
        <f>MONTH(B414)</f>
        <v>7</v>
      </c>
      <c r="D414" t="inlineStr">
        <is>
          <t>Montserrado</t>
        </is>
      </c>
      <c r="E414" t="inlineStr">
        <is>
          <t>Johnsonville - Urban Background</t>
        </is>
      </c>
      <c r="F414" t="inlineStr">
        <is>
          <t>Urban Background</t>
        </is>
      </c>
      <c r="G414" t="inlineStr">
        <is>
          <t>Ambient Radiation</t>
        </is>
      </c>
      <c r="H414" t="inlineStr">
        <is>
          <t>Gamma Dose Rate</t>
        </is>
      </c>
      <c r="I414" t="n">
        <v>0.05</v>
      </c>
      <c r="J414" t="inlineStr">
        <is>
          <t>uSv/h</t>
        </is>
      </c>
      <c r="K414" t="n">
        <v>0</v>
      </c>
      <c r="L414" t="n">
        <v>0.3</v>
      </c>
      <c r="M414" t="str">
        <f>IF(AND(I414&gt;=K414,I414&lt;=L414),"Yes","No")</f>
        <v>Yes</v>
      </c>
      <c r="N414" s="34">
        <f>IF(L414=0,"",I414/L414)</f>
        <v>0.1666666667</v>
      </c>
      <c r="O414" s="33" t="n">
        <v>0</v>
      </c>
      <c r="P414" t="inlineStr">
        <is>
          <t>Benson Hospital</t>
        </is>
      </c>
      <c r="Q414" t="inlineStr">
        <is>
          <t>H. Zolia</t>
        </is>
      </c>
    </row>
    <row r="415">
      <c r="A415" t="inlineStr">
        <is>
          <t>SL-2026-00412</t>
        </is>
      </c>
      <c r="B415" s="32" t="n">
        <v>46215</v>
      </c>
      <c r="C415" s="33">
        <f>MONTH(B415)</f>
        <v>7</v>
      </c>
      <c r="D415" t="inlineStr">
        <is>
          <t>Maryland</t>
        </is>
      </c>
      <c r="E415" t="inlineStr">
        <is>
          <t>Karloken - Industrial Site</t>
        </is>
      </c>
      <c r="F415" t="inlineStr">
        <is>
          <t>Industrial Site</t>
        </is>
      </c>
      <c r="G415" t="inlineStr">
        <is>
          <t>Soil</t>
        </is>
      </c>
      <c r="H415" t="inlineStr">
        <is>
          <t>Cadmium</t>
        </is>
      </c>
      <c r="I415" t="n">
        <v>0.3</v>
      </c>
      <c r="J415" t="inlineStr">
        <is>
          <t>mg/kg</t>
        </is>
      </c>
      <c r="K415" t="n">
        <v>0</v>
      </c>
      <c r="L415" t="n">
        <v>3</v>
      </c>
      <c r="M415" t="str">
        <f>IF(AND(I415&gt;=K415,I415&lt;=L415),"Yes","No")</f>
        <v>Yes</v>
      </c>
      <c r="N415" s="34">
        <f>IF(L415=0,"",I415/L415)</f>
        <v>0.1</v>
      </c>
      <c r="O415" s="33" t="n">
        <v>6000</v>
      </c>
      <c r="P415" t="inlineStr">
        <is>
          <t>Harper Hospital</t>
        </is>
      </c>
      <c r="Q415" t="inlineStr">
        <is>
          <t>M. Toe</t>
        </is>
      </c>
    </row>
    <row r="416">
      <c r="A416" t="inlineStr">
        <is>
          <t>WQ-2026-00413</t>
        </is>
      </c>
      <c r="B416" s="32" t="n">
        <v>46225</v>
      </c>
      <c r="C416" s="33">
        <f>MONTH(B416)</f>
        <v>7</v>
      </c>
      <c r="D416" t="inlineStr">
        <is>
          <t>Lofa</t>
        </is>
      </c>
      <c r="E416" t="inlineStr">
        <is>
          <t>Voinjama - Community Borehole</t>
        </is>
      </c>
      <c r="F416" t="inlineStr">
        <is>
          <t>Community Borehole</t>
        </is>
      </c>
      <c r="G416" t="inlineStr">
        <is>
          <t>Water</t>
        </is>
      </c>
      <c r="H416" t="inlineStr">
        <is>
          <t>Arsenic</t>
        </is>
      </c>
      <c r="I416" t="n">
        <v>0.0318</v>
      </c>
      <c r="J416" t="inlineStr">
        <is>
          <t>mg/L</t>
        </is>
      </c>
      <c r="K416" t="n">
        <v>0</v>
      </c>
      <c r="L416" t="n">
        <v>0.01</v>
      </c>
      <c r="M416" t="str">
        <f>IF(AND(I416&gt;=K416,I416&lt;=L416),"Yes","No")</f>
        <v>No</v>
      </c>
      <c r="N416" s="34">
        <f>IF(L416=0,"",I416/L416)</f>
        <v>3.18</v>
      </c>
      <c r="O416" s="33" t="n">
        <v>120</v>
      </c>
      <c r="P416" t="inlineStr">
        <is>
          <t>Curran Lutheran Hospital</t>
        </is>
      </c>
      <c r="Q416" t="inlineStr">
        <is>
          <t>E. Sebo</t>
        </is>
      </c>
    </row>
    <row r="417">
      <c r="A417" t="inlineStr">
        <is>
          <t>WQ-2026-00414</t>
        </is>
      </c>
      <c r="B417" s="32" t="n">
        <v>46217</v>
      </c>
      <c r="C417" s="33">
        <f>MONTH(B417)</f>
        <v>7</v>
      </c>
      <c r="D417" t="inlineStr">
        <is>
          <t>Grand Cape Mount</t>
        </is>
      </c>
      <c r="E417" t="inlineStr">
        <is>
          <t>Tieni - River / Stream Intake</t>
        </is>
      </c>
      <c r="F417" t="inlineStr">
        <is>
          <t>River / Stream Intake</t>
        </is>
      </c>
      <c r="G417" t="inlineStr">
        <is>
          <t>Water</t>
        </is>
      </c>
      <c r="H417" t="inlineStr">
        <is>
          <t>E. coli</t>
        </is>
      </c>
      <c r="I417" t="n">
        <v>0</v>
      </c>
      <c r="J417" t="inlineStr">
        <is>
          <t>CFU/100 mL</t>
        </is>
      </c>
      <c r="K417" t="n">
        <v>0</v>
      </c>
      <c r="L417" t="n">
        <v>0</v>
      </c>
      <c r="M417" t="str">
        <f>IF(AND(I417&gt;=K417,I417&lt;=L417),"Yes","No")</f>
        <v>Yes</v>
      </c>
      <c r="N417" s="34">
        <f>IF(L417=0,"",I417/L417)</f>
        <v/>
      </c>
      <c r="O417" s="33" t="n">
        <v>4200</v>
      </c>
      <c r="P417" t="inlineStr">
        <is>
          <t>St. Timothy Hospital</t>
        </is>
      </c>
      <c r="Q417" t="inlineStr">
        <is>
          <t>P. Wleh</t>
        </is>
      </c>
    </row>
    <row r="418">
      <c r="A418" t="inlineStr">
        <is>
          <t>WQ-2026-00415</t>
        </is>
      </c>
      <c r="B418" s="32" t="n">
        <v>46216</v>
      </c>
      <c r="C418" s="33">
        <f>MONTH(B418)</f>
        <v>7</v>
      </c>
      <c r="D418" t="inlineStr">
        <is>
          <t>Nimba</t>
        </is>
      </c>
      <c r="E418" t="inlineStr">
        <is>
          <t>Tappita - Public Tap Stand</t>
        </is>
      </c>
      <c r="F418" t="inlineStr">
        <is>
          <t>Public Tap Stand</t>
        </is>
      </c>
      <c r="G418" t="inlineStr">
        <is>
          <t>Water</t>
        </is>
      </c>
      <c r="H418" t="inlineStr">
        <is>
          <t>Iron</t>
        </is>
      </c>
      <c r="I418" t="n">
        <v>0.6899999999999999</v>
      </c>
      <c r="J418" t="inlineStr">
        <is>
          <t>mg/L</t>
        </is>
      </c>
      <c r="K418" t="n">
        <v>0</v>
      </c>
      <c r="L418" t="n">
        <v>0.3</v>
      </c>
      <c r="M418" t="str">
        <f>IF(AND(I418&gt;=K418,I418&lt;=L418),"Yes","No")</f>
        <v>No</v>
      </c>
      <c r="N418" s="34">
        <f>IF(L418=0,"",I418/L418)</f>
        <v>2.3</v>
      </c>
      <c r="O418" s="33" t="n">
        <v>500</v>
      </c>
      <c r="P418" t="inlineStr">
        <is>
          <t>Tappita Referral Hospital</t>
        </is>
      </c>
      <c r="Q418" t="inlineStr">
        <is>
          <t>M. Toe</t>
        </is>
      </c>
    </row>
    <row r="419">
      <c r="A419" t="inlineStr">
        <is>
          <t>WQ-2026-00416</t>
        </is>
      </c>
      <c r="B419" s="32" t="n">
        <v>46210</v>
      </c>
      <c r="C419" s="33">
        <f>MONTH(B419)</f>
        <v>7</v>
      </c>
      <c r="D419" t="inlineStr">
        <is>
          <t>Grand Cape Mount</t>
        </is>
      </c>
      <c r="E419" t="inlineStr">
        <is>
          <t>Tieni - Public Tap Stand</t>
        </is>
      </c>
      <c r="F419" t="inlineStr">
        <is>
          <t>Public Tap Stand</t>
        </is>
      </c>
      <c r="G419" t="inlineStr">
        <is>
          <t>Water</t>
        </is>
      </c>
      <c r="H419" t="inlineStr">
        <is>
          <t>Turbidity</t>
        </is>
      </c>
      <c r="I419" t="n">
        <v>0.6</v>
      </c>
      <c r="J419" t="inlineStr">
        <is>
          <t>NTU</t>
        </is>
      </c>
      <c r="K419" t="n">
        <v>0</v>
      </c>
      <c r="L419" t="n">
        <v>5</v>
      </c>
      <c r="M419" t="str">
        <f>IF(AND(I419&gt;=K419,I419&lt;=L419),"Yes","No")</f>
        <v>Yes</v>
      </c>
      <c r="N419" s="34">
        <f>IF(L419=0,"",I419/L419)</f>
        <v>0.12</v>
      </c>
      <c r="O419" s="33" t="n">
        <v>1200</v>
      </c>
      <c r="P419" t="inlineStr">
        <is>
          <t>Sinje Health Center</t>
        </is>
      </c>
      <c r="Q419" t="inlineStr">
        <is>
          <t>M. Toe</t>
        </is>
      </c>
    </row>
    <row r="420">
      <c r="A420" t="inlineStr">
        <is>
          <t>WQ-2026-00417</t>
        </is>
      </c>
      <c r="B420" s="32" t="n">
        <v>46228</v>
      </c>
      <c r="C420" s="33">
        <f>MONTH(B420)</f>
        <v>7</v>
      </c>
      <c r="D420" t="inlineStr">
        <is>
          <t>Grand Cape Mount</t>
        </is>
      </c>
      <c r="E420" t="inlineStr">
        <is>
          <t>Robertsport - Public Tap Stand</t>
        </is>
      </c>
      <c r="F420" t="inlineStr">
        <is>
          <t>Public Tap Stand</t>
        </is>
      </c>
      <c r="G420" t="inlineStr">
        <is>
          <t>Water</t>
        </is>
      </c>
      <c r="H420" t="inlineStr">
        <is>
          <t>Turbidity</t>
        </is>
      </c>
      <c r="I420" t="n">
        <v>3.6</v>
      </c>
      <c r="J420" t="inlineStr">
        <is>
          <t>NTU</t>
        </is>
      </c>
      <c r="K420" t="n">
        <v>0</v>
      </c>
      <c r="L420" t="n">
        <v>5</v>
      </c>
      <c r="M420" t="str">
        <f>IF(AND(I420&gt;=K420,I420&lt;=L420),"Yes","No")</f>
        <v>Yes</v>
      </c>
      <c r="N420" s="34">
        <f>IF(L420=0,"",I420/L420)</f>
        <v>0.72</v>
      </c>
      <c r="O420" s="33" t="n">
        <v>120</v>
      </c>
      <c r="P420" t="inlineStr">
        <is>
          <t>Sinje Health Center</t>
        </is>
      </c>
      <c r="Q420" t="inlineStr">
        <is>
          <t>F. Gbato</t>
        </is>
      </c>
    </row>
    <row r="421">
      <c r="A421" t="inlineStr">
        <is>
          <t>AQ-2026-00418</t>
        </is>
      </c>
      <c r="B421" s="32" t="n">
        <v>46205</v>
      </c>
      <c r="C421" s="33">
        <f>MONTH(B421)</f>
        <v>7</v>
      </c>
      <c r="D421" t="inlineStr">
        <is>
          <t>Montserrado</t>
        </is>
      </c>
      <c r="E421" t="inlineStr">
        <is>
          <t>Sinkor - Dumpsite Perimeter</t>
        </is>
      </c>
      <c r="F421" t="inlineStr">
        <is>
          <t>Dumpsite Perimeter</t>
        </is>
      </c>
      <c r="G421" t="inlineStr">
        <is>
          <t>Air</t>
        </is>
      </c>
      <c r="H421" t="inlineStr">
        <is>
          <t>PM10</t>
        </is>
      </c>
      <c r="I421" t="n">
        <v>37.5</v>
      </c>
      <c r="J421" t="inlineStr">
        <is>
          <t>ug/m3</t>
        </is>
      </c>
      <c r="K421" t="n">
        <v>0</v>
      </c>
      <c r="L421" t="n">
        <v>50</v>
      </c>
      <c r="M421" t="str">
        <f>IF(AND(I421&gt;=K421,I421&lt;=L421),"Yes","No")</f>
        <v>Yes</v>
      </c>
      <c r="N421" s="34">
        <f>IF(L421=0,"",I421/L421)</f>
        <v>0.75</v>
      </c>
      <c r="O421" s="33" t="n">
        <v>0</v>
      </c>
      <c r="P421" t="inlineStr">
        <is>
          <t>Redemption Hospital</t>
        </is>
      </c>
      <c r="Q421" t="inlineStr">
        <is>
          <t>E. Sebo</t>
        </is>
      </c>
    </row>
    <row r="422">
      <c r="A422" t="inlineStr">
        <is>
          <t>WQ-2026-00419</t>
        </is>
      </c>
      <c r="B422" s="32" t="n">
        <v>46212</v>
      </c>
      <c r="C422" s="33">
        <f>MONTH(B422)</f>
        <v>7</v>
      </c>
      <c r="D422" t="inlineStr">
        <is>
          <t>Nimba</t>
        </is>
      </c>
      <c r="E422" t="inlineStr">
        <is>
          <t>Tappita - Public Tap Stand</t>
        </is>
      </c>
      <c r="F422" t="inlineStr">
        <is>
          <t>Public Tap Stand</t>
        </is>
      </c>
      <c r="G422" t="inlineStr">
        <is>
          <t>Water</t>
        </is>
      </c>
      <c r="H422" t="inlineStr">
        <is>
          <t>Lead</t>
        </is>
      </c>
      <c r="I422" t="n">
        <v>0.0054</v>
      </c>
      <c r="J422" t="inlineStr">
        <is>
          <t>mg/L</t>
        </is>
      </c>
      <c r="K422" t="n">
        <v>0</v>
      </c>
      <c r="L422" t="n">
        <v>0.01</v>
      </c>
      <c r="M422" t="str">
        <f>IF(AND(I422&gt;=K422,I422&lt;=L422),"Yes","No")</f>
        <v>Yes</v>
      </c>
      <c r="N422" s="34">
        <f>IF(L422=0,"",I422/L422)</f>
        <v>0.54</v>
      </c>
      <c r="O422" s="33" t="n">
        <v>2500</v>
      </c>
      <c r="P422" t="inlineStr">
        <is>
          <t>Saclepea Health Center</t>
        </is>
      </c>
      <c r="Q422" t="inlineStr">
        <is>
          <t>B. Kpadeh</t>
        </is>
      </c>
    </row>
    <row r="423">
      <c r="A423" t="inlineStr">
        <is>
          <t>WQ-2026-00420</t>
        </is>
      </c>
      <c r="B423" s="32" t="n">
        <v>46228</v>
      </c>
      <c r="C423" s="33">
        <f>MONTH(B423)</f>
        <v>7</v>
      </c>
      <c r="D423" t="inlineStr">
        <is>
          <t>Lofa</t>
        </is>
      </c>
      <c r="E423" t="inlineStr">
        <is>
          <t>Voinjama - Hand-Dug Well</t>
        </is>
      </c>
      <c r="F423" t="inlineStr">
        <is>
          <t>Hand-Dug Well</t>
        </is>
      </c>
      <c r="G423" t="inlineStr">
        <is>
          <t>Water</t>
        </is>
      </c>
      <c r="H423" t="inlineStr">
        <is>
          <t>Iron</t>
        </is>
      </c>
      <c r="I423" t="n">
        <v>0.05</v>
      </c>
      <c r="J423" t="inlineStr">
        <is>
          <t>mg/L</t>
        </is>
      </c>
      <c r="K423" t="n">
        <v>0</v>
      </c>
      <c r="L423" t="n">
        <v>0.3</v>
      </c>
      <c r="M423" t="str">
        <f>IF(AND(I423&gt;=K423,I423&lt;=L423),"Yes","No")</f>
        <v>Yes</v>
      </c>
      <c r="N423" s="34">
        <f>IF(L423=0,"",I423/L423)</f>
        <v>0.1666666667</v>
      </c>
      <c r="O423" s="33" t="n">
        <v>240</v>
      </c>
      <c r="P423" t="inlineStr">
        <is>
          <t>Foya Health Center</t>
        </is>
      </c>
      <c r="Q423" t="inlineStr">
        <is>
          <t>P. Wleh</t>
        </is>
      </c>
    </row>
    <row r="424">
      <c r="A424" t="inlineStr">
        <is>
          <t>AQ-2026-00421</t>
        </is>
      </c>
      <c r="B424" s="32" t="n">
        <v>46205</v>
      </c>
      <c r="C424" s="33">
        <f>MONTH(B424)</f>
        <v>7</v>
      </c>
      <c r="D424" t="inlineStr">
        <is>
          <t>Bong</t>
        </is>
      </c>
      <c r="E424" t="inlineStr">
        <is>
          <t>Suakoko - Market Area</t>
        </is>
      </c>
      <c r="F424" t="inlineStr">
        <is>
          <t>Market Area</t>
        </is>
      </c>
      <c r="G424" t="inlineStr">
        <is>
          <t>Air</t>
        </is>
      </c>
      <c r="H424" t="inlineStr">
        <is>
          <t>Nitrogen Dioxide (NO2)</t>
        </is>
      </c>
      <c r="I424" t="n">
        <v>21.5</v>
      </c>
      <c r="J424" t="inlineStr">
        <is>
          <t>ug/m3</t>
        </is>
      </c>
      <c r="K424" t="n">
        <v>0</v>
      </c>
      <c r="L424" t="n">
        <v>40</v>
      </c>
      <c r="M424" t="str">
        <f>IF(AND(I424&gt;=K424,I424&lt;=L424),"Yes","No")</f>
        <v>Yes</v>
      </c>
      <c r="N424" s="34">
        <f>IF(L424=0,"",I424/L424)</f>
        <v>0.5375</v>
      </c>
      <c r="O424" s="33" t="n">
        <v>0</v>
      </c>
      <c r="P424" t="inlineStr">
        <is>
          <t>Phebe Hospital</t>
        </is>
      </c>
      <c r="Q424" t="inlineStr">
        <is>
          <t>B. Kpadeh</t>
        </is>
      </c>
    </row>
    <row r="425">
      <c r="A425" t="inlineStr">
        <is>
          <t>WQ-2026-00422</t>
        </is>
      </c>
      <c r="B425" s="32" t="n">
        <v>46214</v>
      </c>
      <c r="C425" s="33">
        <f>MONTH(B425)</f>
        <v>7</v>
      </c>
      <c r="D425" t="inlineStr">
        <is>
          <t>Montserrado</t>
        </is>
      </c>
      <c r="E425" t="inlineStr">
        <is>
          <t>Paynesville - Community Borehole</t>
        </is>
      </c>
      <c r="F425" t="inlineStr">
        <is>
          <t>Community Borehole</t>
        </is>
      </c>
      <c r="G425" t="inlineStr">
        <is>
          <t>Water</t>
        </is>
      </c>
      <c r="H425" t="inlineStr">
        <is>
          <t>Turbidity</t>
        </is>
      </c>
      <c r="I425" t="n">
        <v>16.4</v>
      </c>
      <c r="J425" t="inlineStr">
        <is>
          <t>NTU</t>
        </is>
      </c>
      <c r="K425" t="n">
        <v>0</v>
      </c>
      <c r="L425" t="n">
        <v>5</v>
      </c>
      <c r="M425" t="str">
        <f>IF(AND(I425&gt;=K425,I425&lt;=L425),"Yes","No")</f>
        <v>No</v>
      </c>
      <c r="N425" s="34">
        <f>IF(L425=0,"",I425/L425)</f>
        <v>3.28</v>
      </c>
      <c r="O425" s="33" t="n">
        <v>350</v>
      </c>
      <c r="P425" t="inlineStr">
        <is>
          <t>JFK Memorial Hospital</t>
        </is>
      </c>
      <c r="Q425" t="inlineStr">
        <is>
          <t>A. Kollie</t>
        </is>
      </c>
    </row>
    <row r="426">
      <c r="A426" t="inlineStr">
        <is>
          <t>AQ-2026-00423</t>
        </is>
      </c>
      <c r="B426" s="32" t="n">
        <v>46207</v>
      </c>
      <c r="C426" s="33">
        <f>MONTH(B426)</f>
        <v>7</v>
      </c>
      <c r="D426" t="inlineStr">
        <is>
          <t>Grand Bassa</t>
        </is>
      </c>
      <c r="E426" t="inlineStr">
        <is>
          <t>Buchanan - Industrial Perimeter</t>
        </is>
      </c>
      <c r="F426" t="inlineStr">
        <is>
          <t>Industrial Perimeter</t>
        </is>
      </c>
      <c r="G426" t="inlineStr">
        <is>
          <t>Air</t>
        </is>
      </c>
      <c r="H426" t="inlineStr">
        <is>
          <t>Nitrogen Dioxide (NO2)</t>
        </is>
      </c>
      <c r="I426" t="n">
        <v>31</v>
      </c>
      <c r="J426" t="inlineStr">
        <is>
          <t>ug/m3</t>
        </is>
      </c>
      <c r="K426" t="n">
        <v>0</v>
      </c>
      <c r="L426" t="n">
        <v>40</v>
      </c>
      <c r="M426" t="str">
        <f>IF(AND(I426&gt;=K426,I426&lt;=L426),"Yes","No")</f>
        <v>Yes</v>
      </c>
      <c r="N426" s="34">
        <f>IF(L426=0,"",I426/L426)</f>
        <v>0.775</v>
      </c>
      <c r="O426" s="33" t="n">
        <v>0</v>
      </c>
      <c r="P426" t="inlineStr">
        <is>
          <t>Edina Health Center</t>
        </is>
      </c>
      <c r="Q426" t="inlineStr">
        <is>
          <t>B. Kpadeh</t>
        </is>
      </c>
    </row>
    <row r="427">
      <c r="A427" t="inlineStr">
        <is>
          <t>WQ-2026-00424</t>
        </is>
      </c>
      <c r="B427" s="32" t="n">
        <v>46220</v>
      </c>
      <c r="C427" s="33">
        <f>MONTH(B427)</f>
        <v>7</v>
      </c>
      <c r="D427" t="inlineStr">
        <is>
          <t>Bong</t>
        </is>
      </c>
      <c r="E427" t="inlineStr">
        <is>
          <t>Suakoko - Public Tap Stand</t>
        </is>
      </c>
      <c r="F427" t="inlineStr">
        <is>
          <t>Public Tap Stand</t>
        </is>
      </c>
      <c r="G427" t="inlineStr">
        <is>
          <t>Water</t>
        </is>
      </c>
      <c r="H427" t="inlineStr">
        <is>
          <t>Nitrate (as NO3)</t>
        </is>
      </c>
      <c r="I427" t="n">
        <v>0.9</v>
      </c>
      <c r="J427" t="inlineStr">
        <is>
          <t>mg/L</t>
        </is>
      </c>
      <c r="K427" t="n">
        <v>0</v>
      </c>
      <c r="L427" t="n">
        <v>10</v>
      </c>
      <c r="M427" t="str">
        <f>IF(AND(I427&gt;=K427,I427&lt;=L427),"Yes","No")</f>
        <v>Yes</v>
      </c>
      <c r="N427" s="34">
        <f>IF(L427=0,"",I427/L427)</f>
        <v>0.09</v>
      </c>
      <c r="O427" s="33" t="n">
        <v>750</v>
      </c>
      <c r="P427" t="inlineStr">
        <is>
          <t>Phebe Hospital</t>
        </is>
      </c>
      <c r="Q427" t="inlineStr">
        <is>
          <t>A. Kollie</t>
        </is>
      </c>
    </row>
    <row r="428">
      <c r="A428" t="inlineStr">
        <is>
          <t>WQ-2026-00425</t>
        </is>
      </c>
      <c r="B428" s="32" t="n">
        <v>46227</v>
      </c>
      <c r="C428" s="33">
        <f>MONTH(B428)</f>
        <v>7</v>
      </c>
      <c r="D428" t="inlineStr">
        <is>
          <t>Nimba</t>
        </is>
      </c>
      <c r="E428" t="inlineStr">
        <is>
          <t>Yekepa - Health Facility Supply</t>
        </is>
      </c>
      <c r="F428" t="inlineStr">
        <is>
          <t>Health Facility Supply</t>
        </is>
      </c>
      <c r="G428" t="inlineStr">
        <is>
          <t>Water</t>
        </is>
      </c>
      <c r="H428" t="inlineStr">
        <is>
          <t>Lead</t>
        </is>
      </c>
      <c r="I428" t="n">
        <v>0.0005</v>
      </c>
      <c r="J428" t="inlineStr">
        <is>
          <t>mg/L</t>
        </is>
      </c>
      <c r="K428" t="n">
        <v>0</v>
      </c>
      <c r="L428" t="n">
        <v>0.01</v>
      </c>
      <c r="M428" t="str">
        <f>IF(AND(I428&gt;=K428,I428&lt;=L428),"Yes","No")</f>
        <v>Yes</v>
      </c>
      <c r="N428" s="34">
        <f>IF(L428=0,"",I428/L428)</f>
        <v>0.05</v>
      </c>
      <c r="O428" s="33" t="n">
        <v>750</v>
      </c>
      <c r="P428" t="inlineStr">
        <is>
          <t>Ganta United Methodist Hospital</t>
        </is>
      </c>
      <c r="Q428" t="inlineStr">
        <is>
          <t>A. Kollie</t>
        </is>
      </c>
    </row>
    <row r="429">
      <c r="A429" t="inlineStr">
        <is>
          <t>AQ-2026-00426</t>
        </is>
      </c>
      <c r="B429" s="32" t="n">
        <v>46219</v>
      </c>
      <c r="C429" s="33">
        <f>MONTH(B429)</f>
        <v>7</v>
      </c>
      <c r="D429" t="inlineStr">
        <is>
          <t>Margibi</t>
        </is>
      </c>
      <c r="E429" t="inlineStr">
        <is>
          <t>Dolo Town - Residential Area</t>
        </is>
      </c>
      <c r="F429" t="inlineStr">
        <is>
          <t>Residential Area</t>
        </is>
      </c>
      <c r="G429" t="inlineStr">
        <is>
          <t>Air</t>
        </is>
      </c>
      <c r="H429" t="inlineStr">
        <is>
          <t>Nitrogen Dioxide (NO2)</t>
        </is>
      </c>
      <c r="I429" t="n">
        <v>10.7</v>
      </c>
      <c r="J429" t="inlineStr">
        <is>
          <t>ug/m3</t>
        </is>
      </c>
      <c r="K429" t="n">
        <v>0</v>
      </c>
      <c r="L429" t="n">
        <v>40</v>
      </c>
      <c r="M429" t="str">
        <f>IF(AND(I429&gt;=K429,I429&lt;=L429),"Yes","No")</f>
        <v>Yes</v>
      </c>
      <c r="N429" s="34">
        <f>IF(L429=0,"",I429/L429)</f>
        <v>0.2675</v>
      </c>
      <c r="O429" s="33" t="n">
        <v>6000</v>
      </c>
      <c r="P429" t="inlineStr">
        <is>
          <t>Harbel Health Center</t>
        </is>
      </c>
      <c r="Q429" t="inlineStr">
        <is>
          <t>B. Kpadeh</t>
        </is>
      </c>
    </row>
    <row r="430">
      <c r="A430" t="inlineStr">
        <is>
          <t>WQ-2026-00427</t>
        </is>
      </c>
      <c r="B430" s="32" t="n">
        <v>46231</v>
      </c>
      <c r="C430" s="33">
        <f>MONTH(B430)</f>
        <v>7</v>
      </c>
      <c r="D430" t="inlineStr">
        <is>
          <t>Bong</t>
        </is>
      </c>
      <c r="E430" t="inlineStr">
        <is>
          <t>Salala - Community Borehole</t>
        </is>
      </c>
      <c r="F430" t="inlineStr">
        <is>
          <t>Community Borehole</t>
        </is>
      </c>
      <c r="G430" t="inlineStr">
        <is>
          <t>Water</t>
        </is>
      </c>
      <c r="H430" t="inlineStr">
        <is>
          <t>Lead</t>
        </is>
      </c>
      <c r="I430" t="n">
        <v>0.0239</v>
      </c>
      <c r="J430" t="inlineStr">
        <is>
          <t>mg/L</t>
        </is>
      </c>
      <c r="K430" t="n">
        <v>0</v>
      </c>
      <c r="L430" t="n">
        <v>0.01</v>
      </c>
      <c r="M430" t="str">
        <f>IF(AND(I430&gt;=K430,I430&lt;=L430),"Yes","No")</f>
        <v>No</v>
      </c>
      <c r="N430" s="34">
        <f>IF(L430=0,"",I430/L430)</f>
        <v>2.39</v>
      </c>
      <c r="O430" s="33" t="n">
        <v>750</v>
      </c>
      <c r="P430" t="inlineStr">
        <is>
          <t>Gbarnga Health Center</t>
        </is>
      </c>
      <c r="Q430" t="inlineStr">
        <is>
          <t>M. Toe</t>
        </is>
      </c>
    </row>
    <row r="431">
      <c r="A431" t="inlineStr">
        <is>
          <t>RD-2026-00428</t>
        </is>
      </c>
      <c r="B431" s="32" t="n">
        <v>46206</v>
      </c>
      <c r="C431" s="33">
        <f>MONTH(B431)</f>
        <v>7</v>
      </c>
      <c r="D431" t="inlineStr">
        <is>
          <t>Grand Bassa</t>
        </is>
      </c>
      <c r="E431" t="inlineStr">
        <is>
          <t>Edina - Dumpsite Perimeter</t>
        </is>
      </c>
      <c r="F431" t="inlineStr">
        <is>
          <t>Dumpsite Perimeter</t>
        </is>
      </c>
      <c r="G431" t="inlineStr">
        <is>
          <t>Ambient Radiation</t>
        </is>
      </c>
      <c r="H431" t="inlineStr">
        <is>
          <t>Gamma Dose Rate</t>
        </is>
      </c>
      <c r="I431" t="n">
        <v>0.06</v>
      </c>
      <c r="J431" t="inlineStr">
        <is>
          <t>uSv/h</t>
        </is>
      </c>
      <c r="K431" t="n">
        <v>0</v>
      </c>
      <c r="L431" t="n">
        <v>0.3</v>
      </c>
      <c r="M431" t="str">
        <f>IF(AND(I431&gt;=K431,I431&lt;=L431),"Yes","No")</f>
        <v>Yes</v>
      </c>
      <c r="N431" s="34">
        <f>IF(L431=0,"",I431/L431)</f>
        <v>0.2</v>
      </c>
      <c r="O431" s="33" t="n">
        <v>0</v>
      </c>
      <c r="P431" t="inlineStr">
        <is>
          <t>Buchanan Government Hospital</t>
        </is>
      </c>
      <c r="Q431" t="inlineStr">
        <is>
          <t>F. Gbato</t>
        </is>
      </c>
    </row>
    <row r="432">
      <c r="A432" t="inlineStr">
        <is>
          <t>AQ-2026-00429</t>
        </is>
      </c>
      <c r="B432" s="32" t="n">
        <v>46206</v>
      </c>
      <c r="C432" s="33">
        <f>MONTH(B432)</f>
        <v>7</v>
      </c>
      <c r="D432" t="inlineStr">
        <is>
          <t>Nimba</t>
        </is>
      </c>
      <c r="E432" t="inlineStr">
        <is>
          <t>Saclepea - Industrial Perimeter</t>
        </is>
      </c>
      <c r="F432" t="inlineStr">
        <is>
          <t>Industrial Perimeter</t>
        </is>
      </c>
      <c r="G432" t="inlineStr">
        <is>
          <t>Air</t>
        </is>
      </c>
      <c r="H432" t="inlineStr">
        <is>
          <t>Nitrogen Dioxide (NO2)</t>
        </is>
      </c>
      <c r="I432" t="n">
        <v>32.3</v>
      </c>
      <c r="J432" t="inlineStr">
        <is>
          <t>ug/m3</t>
        </is>
      </c>
      <c r="K432" t="n">
        <v>0</v>
      </c>
      <c r="L432" t="n">
        <v>40</v>
      </c>
      <c r="M432" t="str">
        <f>IF(AND(I432&gt;=K432,I432&lt;=L432),"Yes","No")</f>
        <v>Yes</v>
      </c>
      <c r="N432" s="34">
        <f>IF(L432=0,"",I432/L432)</f>
        <v>0.8075</v>
      </c>
      <c r="O432" s="33" t="n">
        <v>6000</v>
      </c>
      <c r="P432" t="inlineStr">
        <is>
          <t>Tappita Referral Hospital</t>
        </is>
      </c>
      <c r="Q432" t="inlineStr">
        <is>
          <t>B. Kpadeh</t>
        </is>
      </c>
    </row>
    <row r="433">
      <c r="A433" t="inlineStr">
        <is>
          <t>SL-2026-00430</t>
        </is>
      </c>
      <c r="B433" s="32" t="n">
        <v>46217</v>
      </c>
      <c r="C433" s="33">
        <f>MONTH(B433)</f>
        <v>7</v>
      </c>
      <c r="D433" t="inlineStr">
        <is>
          <t>Montserrado</t>
        </is>
      </c>
      <c r="E433" t="inlineStr">
        <is>
          <t>New Kru Town - Dumpsite Perimeter</t>
        </is>
      </c>
      <c r="F433" t="inlineStr">
        <is>
          <t>Dumpsite Perimeter</t>
        </is>
      </c>
      <c r="G433" t="inlineStr">
        <is>
          <t>Soil</t>
        </is>
      </c>
      <c r="H433" t="inlineStr">
        <is>
          <t>Cadmium</t>
        </is>
      </c>
      <c r="I433" t="n">
        <v>0.9</v>
      </c>
      <c r="J433" t="inlineStr">
        <is>
          <t>mg/kg</t>
        </is>
      </c>
      <c r="K433" t="n">
        <v>0</v>
      </c>
      <c r="L433" t="n">
        <v>3</v>
      </c>
      <c r="M433" t="str">
        <f>IF(AND(I433&gt;=K433,I433&lt;=L433),"Yes","No")</f>
        <v>Yes</v>
      </c>
      <c r="N433" s="34">
        <f>IF(L433=0,"",I433/L433)</f>
        <v>0.3</v>
      </c>
      <c r="O433" s="33" t="n">
        <v>1500</v>
      </c>
      <c r="P433" t="inlineStr">
        <is>
          <t>Benson Hospital</t>
        </is>
      </c>
      <c r="Q433" t="inlineStr">
        <is>
          <t>J. Nyeman</t>
        </is>
      </c>
    </row>
    <row r="434">
      <c r="A434" t="inlineStr">
        <is>
          <t>WQ-2026-00431</t>
        </is>
      </c>
      <c r="B434" s="32" t="n">
        <v>46206</v>
      </c>
      <c r="C434" s="33">
        <f>MONTH(B434)</f>
        <v>7</v>
      </c>
      <c r="D434" t="inlineStr">
        <is>
          <t>Montserrado</t>
        </is>
      </c>
      <c r="E434" t="inlineStr">
        <is>
          <t>Gardnersville - River / Stream Intake</t>
        </is>
      </c>
      <c r="F434" t="inlineStr">
        <is>
          <t>River / Stream Intake</t>
        </is>
      </c>
      <c r="G434" t="inlineStr">
        <is>
          <t>Water</t>
        </is>
      </c>
      <c r="H434" t="inlineStr">
        <is>
          <t>Total Coliform</t>
        </is>
      </c>
      <c r="I434" t="n">
        <v>45</v>
      </c>
      <c r="J434" t="inlineStr">
        <is>
          <t>CFU/100 mL</t>
        </is>
      </c>
      <c r="K434" t="n">
        <v>0</v>
      </c>
      <c r="L434" t="n">
        <v>0</v>
      </c>
      <c r="M434" t="str">
        <f>IF(AND(I434&gt;=K434,I434&lt;=L434),"Yes","No")</f>
        <v>No</v>
      </c>
      <c r="N434" s="34">
        <f>IF(L434=0,"",I434/L434)</f>
        <v/>
      </c>
      <c r="O434" s="33" t="n">
        <v>120</v>
      </c>
      <c r="P434" t="inlineStr">
        <is>
          <t>JFK Memorial Hospital</t>
        </is>
      </c>
      <c r="Q434" t="inlineStr">
        <is>
          <t>B. Kpadeh</t>
        </is>
      </c>
    </row>
    <row r="435">
      <c r="A435" t="inlineStr">
        <is>
          <t>SL-2026-00432</t>
        </is>
      </c>
      <c r="B435" s="32" t="n">
        <v>46229</v>
      </c>
      <c r="C435" s="33">
        <f>MONTH(B435)</f>
        <v>7</v>
      </c>
      <c r="D435" t="inlineStr">
        <is>
          <t>Nimba</t>
        </is>
      </c>
      <c r="E435" t="inlineStr">
        <is>
          <t>Karnplay - Industrial Site</t>
        </is>
      </c>
      <c r="F435" t="inlineStr">
        <is>
          <t>Industrial Site</t>
        </is>
      </c>
      <c r="G435" t="inlineStr">
        <is>
          <t>Soil</t>
        </is>
      </c>
      <c r="H435" t="inlineStr">
        <is>
          <t>Cadmium</t>
        </is>
      </c>
      <c r="I435" t="n">
        <v>10.7</v>
      </c>
      <c r="J435" t="inlineStr">
        <is>
          <t>mg/kg</t>
        </is>
      </c>
      <c r="K435" t="n">
        <v>0</v>
      </c>
      <c r="L435" t="n">
        <v>3</v>
      </c>
      <c r="M435" t="str">
        <f>IF(AND(I435&gt;=K435,I435&lt;=L435),"Yes","No")</f>
        <v>No</v>
      </c>
      <c r="N435" s="34">
        <f>IF(L435=0,"",I435/L435)</f>
        <v>3.5666666667</v>
      </c>
      <c r="O435" s="33" t="n">
        <v>450</v>
      </c>
      <c r="P435" t="inlineStr">
        <is>
          <t>Ganta United Methodist Hospital</t>
        </is>
      </c>
      <c r="Q435" t="inlineStr">
        <is>
          <t>M. Toe</t>
        </is>
      </c>
    </row>
    <row r="436">
      <c r="A436" t="inlineStr">
        <is>
          <t>WQ-2026-00433</t>
        </is>
      </c>
      <c r="B436" s="32" t="n">
        <v>46218</v>
      </c>
      <c r="C436" s="33">
        <f>MONTH(B436)</f>
        <v>7</v>
      </c>
      <c r="D436" t="inlineStr">
        <is>
          <t>Grand Bassa</t>
        </is>
      </c>
      <c r="E436" t="inlineStr">
        <is>
          <t>Buchanan - Health Facility Supply</t>
        </is>
      </c>
      <c r="F436" t="inlineStr">
        <is>
          <t>Health Facility Supply</t>
        </is>
      </c>
      <c r="G436" t="inlineStr">
        <is>
          <t>Water</t>
        </is>
      </c>
      <c r="H436" t="inlineStr">
        <is>
          <t>Nitrate (as NO3)</t>
        </is>
      </c>
      <c r="I436" t="n">
        <v>4.2</v>
      </c>
      <c r="J436" t="inlineStr">
        <is>
          <t>mg/L</t>
        </is>
      </c>
      <c r="K436" t="n">
        <v>0</v>
      </c>
      <c r="L436" t="n">
        <v>10</v>
      </c>
      <c r="M436" t="str">
        <f>IF(AND(I436&gt;=K436,I436&lt;=L436),"Yes","No")</f>
        <v>Yes</v>
      </c>
      <c r="N436" s="34">
        <f>IF(L436=0,"",I436/L436)</f>
        <v>0.42</v>
      </c>
      <c r="O436" s="33" t="n">
        <v>240</v>
      </c>
      <c r="P436" t="inlineStr">
        <is>
          <t>Buchanan Government Hospital</t>
        </is>
      </c>
      <c r="Q436" t="inlineStr">
        <is>
          <t>T. Mulbah</t>
        </is>
      </c>
    </row>
    <row r="437">
      <c r="A437" t="inlineStr">
        <is>
          <t>SL-2026-00434</t>
        </is>
      </c>
      <c r="B437" s="32" t="n">
        <v>46233</v>
      </c>
      <c r="C437" s="33">
        <f>MONTH(B437)</f>
        <v>7</v>
      </c>
      <c r="D437" t="inlineStr">
        <is>
          <t>Montserrado</t>
        </is>
      </c>
      <c r="E437" t="inlineStr">
        <is>
          <t>Gardnersville - Dumpsite Perimeter</t>
        </is>
      </c>
      <c r="F437" t="inlineStr">
        <is>
          <t>Dumpsite Perimeter</t>
        </is>
      </c>
      <c r="G437" t="inlineStr">
        <is>
          <t>Soil</t>
        </is>
      </c>
      <c r="H437" t="inlineStr">
        <is>
          <t>Cadmium</t>
        </is>
      </c>
      <c r="I437" t="n">
        <v>0.5</v>
      </c>
      <c r="J437" t="inlineStr">
        <is>
          <t>mg/kg</t>
        </is>
      </c>
      <c r="K437" t="n">
        <v>0</v>
      </c>
      <c r="L437" t="n">
        <v>3</v>
      </c>
      <c r="M437" t="str">
        <f>IF(AND(I437&gt;=K437,I437&lt;=L437),"Yes","No")</f>
        <v>Yes</v>
      </c>
      <c r="N437" s="34">
        <f>IF(L437=0,"",I437/L437)</f>
        <v>0.1666666667</v>
      </c>
      <c r="O437" s="33" t="n">
        <v>3500</v>
      </c>
      <c r="P437" t="inlineStr">
        <is>
          <t>JFK Memorial Hospital</t>
        </is>
      </c>
      <c r="Q437" t="inlineStr">
        <is>
          <t>J. Nyeman</t>
        </is>
      </c>
    </row>
    <row r="438">
      <c r="A438" t="inlineStr">
        <is>
          <t>SL-2026-00435</t>
        </is>
      </c>
      <c r="B438" s="32" t="n">
        <v>46219</v>
      </c>
      <c r="C438" s="33">
        <f>MONTH(B438)</f>
        <v>7</v>
      </c>
      <c r="D438" t="inlineStr">
        <is>
          <t>Montserrado</t>
        </is>
      </c>
      <c r="E438" t="inlineStr">
        <is>
          <t>Sinkor - School Grounds</t>
        </is>
      </c>
      <c r="F438" t="inlineStr">
        <is>
          <t>School Grounds</t>
        </is>
      </c>
      <c r="G438" t="inlineStr">
        <is>
          <t>Soil</t>
        </is>
      </c>
      <c r="H438" t="inlineStr">
        <is>
          <t>Cadmium</t>
        </is>
      </c>
      <c r="I438" t="n">
        <v>10.4</v>
      </c>
      <c r="J438" t="inlineStr">
        <is>
          <t>mg/kg</t>
        </is>
      </c>
      <c r="K438" t="n">
        <v>0</v>
      </c>
      <c r="L438" t="n">
        <v>3</v>
      </c>
      <c r="M438" t="str">
        <f>IF(AND(I438&gt;=K438,I438&lt;=L438),"Yes","No")</f>
        <v>No</v>
      </c>
      <c r="N438" s="34">
        <f>IF(L438=0,"",I438/L438)</f>
        <v>3.4666666667</v>
      </c>
      <c r="O438" s="33" t="n">
        <v>0</v>
      </c>
      <c r="P438" t="inlineStr">
        <is>
          <t>Redemption Hospital</t>
        </is>
      </c>
      <c r="Q438" t="inlineStr">
        <is>
          <t>S. Dolo</t>
        </is>
      </c>
    </row>
    <row r="439">
      <c r="A439" t="inlineStr">
        <is>
          <t>WQ-2026-00436</t>
        </is>
      </c>
      <c r="B439" s="32" t="n">
        <v>46222</v>
      </c>
      <c r="C439" s="33">
        <f>MONTH(B439)</f>
        <v>7</v>
      </c>
      <c r="D439" t="inlineStr">
        <is>
          <t>Nimba</t>
        </is>
      </c>
      <c r="E439" t="inlineStr">
        <is>
          <t>Ganta - Public Tap Stand</t>
        </is>
      </c>
      <c r="F439" t="inlineStr">
        <is>
          <t>Public Tap Stand</t>
        </is>
      </c>
      <c r="G439" t="inlineStr">
        <is>
          <t>Water</t>
        </is>
      </c>
      <c r="H439" t="inlineStr">
        <is>
          <t>Nitrate (as NO3)</t>
        </is>
      </c>
      <c r="I439" t="n">
        <v>16.4</v>
      </c>
      <c r="J439" t="inlineStr">
        <is>
          <t>mg/L</t>
        </is>
      </c>
      <c r="K439" t="n">
        <v>0</v>
      </c>
      <c r="L439" t="n">
        <v>10</v>
      </c>
      <c r="M439" t="str">
        <f>IF(AND(I439&gt;=K439,I439&lt;=L439),"Yes","No")</f>
        <v>No</v>
      </c>
      <c r="N439" s="34">
        <f>IF(L439=0,"",I439/L439)</f>
        <v>1.64</v>
      </c>
      <c r="O439" s="33" t="n">
        <v>350</v>
      </c>
      <c r="P439" t="inlineStr">
        <is>
          <t>Ganta United Methodist Hospital</t>
        </is>
      </c>
      <c r="Q439" t="inlineStr">
        <is>
          <t>S. Dolo</t>
        </is>
      </c>
    </row>
    <row r="440">
      <c r="A440" t="inlineStr">
        <is>
          <t>SL-2026-00437</t>
        </is>
      </c>
      <c r="B440" s="32" t="n">
        <v>46227</v>
      </c>
      <c r="C440" s="33">
        <f>MONTH(B440)</f>
        <v>7</v>
      </c>
      <c r="D440" t="inlineStr">
        <is>
          <t>Grand Bassa</t>
        </is>
      </c>
      <c r="E440" t="inlineStr">
        <is>
          <t>Owensgrove - Industrial Site</t>
        </is>
      </c>
      <c r="F440" t="inlineStr">
        <is>
          <t>Industrial Site</t>
        </is>
      </c>
      <c r="G440" t="inlineStr">
        <is>
          <t>Soil</t>
        </is>
      </c>
      <c r="H440" t="inlineStr">
        <is>
          <t>Mercury</t>
        </is>
      </c>
      <c r="I440" t="n">
        <v>2.5</v>
      </c>
      <c r="J440" t="inlineStr">
        <is>
          <t>mg/kg</t>
        </is>
      </c>
      <c r="K440" t="n">
        <v>0</v>
      </c>
      <c r="L440" t="n">
        <v>1</v>
      </c>
      <c r="M440" t="str">
        <f>IF(AND(I440&gt;=K440,I440&lt;=L440),"Yes","No")</f>
        <v>No</v>
      </c>
      <c r="N440" s="34">
        <f>IF(L440=0,"",I440/L440)</f>
        <v>2.5</v>
      </c>
      <c r="O440" s="33" t="n">
        <v>1500</v>
      </c>
      <c r="P440" t="inlineStr">
        <is>
          <t>Edina Health Center</t>
        </is>
      </c>
      <c r="Q440" t="inlineStr">
        <is>
          <t>B. Kpadeh</t>
        </is>
      </c>
    </row>
    <row r="441">
      <c r="A441" t="inlineStr">
        <is>
          <t>WQ-2026-00438</t>
        </is>
      </c>
      <c r="B441" s="32" t="n">
        <v>46212</v>
      </c>
      <c r="C441" s="33">
        <f>MONTH(B441)</f>
        <v>7</v>
      </c>
      <c r="D441" t="inlineStr">
        <is>
          <t>Grand Bassa</t>
        </is>
      </c>
      <c r="E441" t="inlineStr">
        <is>
          <t>Edina - Hand-Dug Well</t>
        </is>
      </c>
      <c r="F441" t="inlineStr">
        <is>
          <t>Hand-Dug Well</t>
        </is>
      </c>
      <c r="G441" t="inlineStr">
        <is>
          <t>Water</t>
        </is>
      </c>
      <c r="H441" t="inlineStr">
        <is>
          <t>E. coli</t>
        </is>
      </c>
      <c r="I441" t="n">
        <v>0</v>
      </c>
      <c r="J441" t="inlineStr">
        <is>
          <t>CFU/100 mL</t>
        </is>
      </c>
      <c r="K441" t="n">
        <v>0</v>
      </c>
      <c r="L441" t="n">
        <v>0</v>
      </c>
      <c r="M441" t="str">
        <f>IF(AND(I441&gt;=K441,I441&lt;=L441),"Yes","No")</f>
        <v>Yes</v>
      </c>
      <c r="N441" s="34">
        <f>IF(L441=0,"",I441/L441)</f>
        <v/>
      </c>
      <c r="O441" s="33" t="n">
        <v>750</v>
      </c>
      <c r="P441" t="inlineStr">
        <is>
          <t>Buchanan Government Hospital</t>
        </is>
      </c>
      <c r="Q441" t="inlineStr">
        <is>
          <t>T. Mulbah</t>
        </is>
      </c>
    </row>
    <row r="442">
      <c r="A442" t="inlineStr">
        <is>
          <t>SL-2026-00439</t>
        </is>
      </c>
      <c r="B442" s="32" t="n">
        <v>46233</v>
      </c>
      <c r="C442" s="33">
        <f>MONTH(B442)</f>
        <v>7</v>
      </c>
      <c r="D442" t="inlineStr">
        <is>
          <t>Bong</t>
        </is>
      </c>
      <c r="E442" t="inlineStr">
        <is>
          <t>Salala - Playground</t>
        </is>
      </c>
      <c r="F442" t="inlineStr">
        <is>
          <t>Playground</t>
        </is>
      </c>
      <c r="G442" t="inlineStr">
        <is>
          <t>Soil</t>
        </is>
      </c>
      <c r="H442" t="inlineStr">
        <is>
          <t>Cadmium</t>
        </is>
      </c>
      <c r="I442" t="n">
        <v>1.6</v>
      </c>
      <c r="J442" t="inlineStr">
        <is>
          <t>mg/kg</t>
        </is>
      </c>
      <c r="K442" t="n">
        <v>0</v>
      </c>
      <c r="L442" t="n">
        <v>3</v>
      </c>
      <c r="M442" t="str">
        <f>IF(AND(I442&gt;=K442,I442&lt;=L442),"Yes","No")</f>
        <v>Yes</v>
      </c>
      <c r="N442" s="34">
        <f>IF(L442=0,"",I442/L442)</f>
        <v>0.5333333333</v>
      </c>
      <c r="O442" s="33" t="n">
        <v>0</v>
      </c>
      <c r="P442" t="inlineStr">
        <is>
          <t>Gbarnga Health Center</t>
        </is>
      </c>
      <c r="Q442" t="inlineStr">
        <is>
          <t>P. Wleh</t>
        </is>
      </c>
    </row>
    <row r="443">
      <c r="A443" t="inlineStr">
        <is>
          <t>WQ-2026-00440</t>
        </is>
      </c>
      <c r="B443" s="32" t="n">
        <v>46210</v>
      </c>
      <c r="C443" s="33">
        <f>MONTH(B443)</f>
        <v>7</v>
      </c>
      <c r="D443" t="inlineStr">
        <is>
          <t>Bong</t>
        </is>
      </c>
      <c r="E443" t="inlineStr">
        <is>
          <t>Totota - River / Stream Intake</t>
        </is>
      </c>
      <c r="F443" t="inlineStr">
        <is>
          <t>River / Stream Intake</t>
        </is>
      </c>
      <c r="G443" t="inlineStr">
        <is>
          <t>Water</t>
        </is>
      </c>
      <c r="H443" t="inlineStr">
        <is>
          <t>Nitrate (as NO3)</t>
        </is>
      </c>
      <c r="I443" t="n">
        <v>0.2</v>
      </c>
      <c r="J443" t="inlineStr">
        <is>
          <t>mg/L</t>
        </is>
      </c>
      <c r="K443" t="n">
        <v>0</v>
      </c>
      <c r="L443" t="n">
        <v>10</v>
      </c>
      <c r="M443" t="str">
        <f>IF(AND(I443&gt;=K443,I443&lt;=L443),"Yes","No")</f>
        <v>Yes</v>
      </c>
      <c r="N443" s="34">
        <f>IF(L443=0,"",I443/L443)</f>
        <v>0.02</v>
      </c>
      <c r="O443" s="33" t="n">
        <v>900</v>
      </c>
      <c r="P443" t="inlineStr">
        <is>
          <t>Phebe Hospital</t>
        </is>
      </c>
      <c r="Q443" t="inlineStr">
        <is>
          <t>P. Wleh</t>
        </is>
      </c>
    </row>
    <row r="444">
      <c r="A444" t="inlineStr">
        <is>
          <t>WQ-2026-00441</t>
        </is>
      </c>
      <c r="B444" s="32" t="n">
        <v>46224</v>
      </c>
      <c r="C444" s="33">
        <f>MONTH(B444)</f>
        <v>7</v>
      </c>
      <c r="D444" t="inlineStr">
        <is>
          <t>Grand Cape Mount</t>
        </is>
      </c>
      <c r="E444" t="inlineStr">
        <is>
          <t>Sinje - River / Stream Intake</t>
        </is>
      </c>
      <c r="F444" t="inlineStr">
        <is>
          <t>River / Stream Intake</t>
        </is>
      </c>
      <c r="G444" t="inlineStr">
        <is>
          <t>Water</t>
        </is>
      </c>
      <c r="H444" t="inlineStr">
        <is>
          <t>Turbidity</t>
        </is>
      </c>
      <c r="I444" t="n">
        <v>3.5</v>
      </c>
      <c r="J444" t="inlineStr">
        <is>
          <t>NTU</t>
        </is>
      </c>
      <c r="K444" t="n">
        <v>0</v>
      </c>
      <c r="L444" t="n">
        <v>5</v>
      </c>
      <c r="M444" t="str">
        <f>IF(AND(I444&gt;=K444,I444&lt;=L444),"Yes","No")</f>
        <v>Yes</v>
      </c>
      <c r="N444" s="34">
        <f>IF(L444=0,"",I444/L444)</f>
        <v>0.7</v>
      </c>
      <c r="O444" s="33" t="n">
        <v>4200</v>
      </c>
      <c r="P444" t="inlineStr">
        <is>
          <t>St. Timothy Hospital</t>
        </is>
      </c>
      <c r="Q444" t="inlineStr">
        <is>
          <t>A. Kollie</t>
        </is>
      </c>
    </row>
    <row r="445">
      <c r="A445" t="inlineStr">
        <is>
          <t>RD-2026-00442</t>
        </is>
      </c>
      <c r="B445" s="32" t="n">
        <v>46226</v>
      </c>
      <c r="C445" s="33">
        <f>MONTH(B445)</f>
        <v>7</v>
      </c>
      <c r="D445" t="inlineStr">
        <is>
          <t>Grand Cape Mount</t>
        </is>
      </c>
      <c r="E445" t="inlineStr">
        <is>
          <t>Bomi Hills - Dumpsite Perimeter</t>
        </is>
      </c>
      <c r="F445" t="inlineStr">
        <is>
          <t>Dumpsite Perimeter</t>
        </is>
      </c>
      <c r="G445" t="inlineStr">
        <is>
          <t>Ambient Radiation</t>
        </is>
      </c>
      <c r="H445" t="inlineStr">
        <is>
          <t>Gamma Dose Rate</t>
        </is>
      </c>
      <c r="I445" t="n">
        <v>0.03</v>
      </c>
      <c r="J445" t="inlineStr">
        <is>
          <t>uSv/h</t>
        </is>
      </c>
      <c r="K445" t="n">
        <v>0</v>
      </c>
      <c r="L445" t="n">
        <v>0.3</v>
      </c>
      <c r="M445" t="str">
        <f>IF(AND(I445&gt;=K445,I445&lt;=L445),"Yes","No")</f>
        <v>Yes</v>
      </c>
      <c r="N445" s="34">
        <f>IF(L445=0,"",I445/L445)</f>
        <v>0.1</v>
      </c>
      <c r="O445" s="33" t="n">
        <v>0</v>
      </c>
      <c r="P445" t="inlineStr">
        <is>
          <t>Sinje Health Center</t>
        </is>
      </c>
      <c r="Q445" t="inlineStr">
        <is>
          <t>M. Toe</t>
        </is>
      </c>
    </row>
    <row r="446">
      <c r="A446" t="inlineStr">
        <is>
          <t>WQ-2026-00443</t>
        </is>
      </c>
      <c r="B446" s="32" t="n">
        <v>46204</v>
      </c>
      <c r="C446" s="33">
        <f>MONTH(B446)</f>
        <v>7</v>
      </c>
      <c r="D446" t="inlineStr">
        <is>
          <t>Montserrado</t>
        </is>
      </c>
      <c r="E446" t="inlineStr">
        <is>
          <t>New Kru Town - Hand-Dug Well</t>
        </is>
      </c>
      <c r="F446" t="inlineStr">
        <is>
          <t>Hand-Dug Well</t>
        </is>
      </c>
      <c r="G446" t="inlineStr">
        <is>
          <t>Water</t>
        </is>
      </c>
      <c r="H446" t="inlineStr">
        <is>
          <t>Arsenic</t>
        </is>
      </c>
      <c r="I446" t="n">
        <v>0.0055</v>
      </c>
      <c r="J446" t="inlineStr">
        <is>
          <t>mg/L</t>
        </is>
      </c>
      <c r="K446" t="n">
        <v>0</v>
      </c>
      <c r="L446" t="n">
        <v>0.01</v>
      </c>
      <c r="M446" t="str">
        <f>IF(AND(I446&gt;=K446,I446&lt;=L446),"Yes","No")</f>
        <v>Yes</v>
      </c>
      <c r="N446" s="34">
        <f>IF(L446=0,"",I446/L446)</f>
        <v>0.55</v>
      </c>
      <c r="O446" s="33" t="n">
        <v>1800</v>
      </c>
      <c r="P446" t="inlineStr">
        <is>
          <t>JFK Memorial Hospital</t>
        </is>
      </c>
      <c r="Q446" t="inlineStr">
        <is>
          <t>T. Mulbah</t>
        </is>
      </c>
    </row>
    <row r="447">
      <c r="A447" t="inlineStr">
        <is>
          <t>WQ-2026-00444</t>
        </is>
      </c>
      <c r="B447" s="32" t="n">
        <v>46204</v>
      </c>
      <c r="C447" s="33">
        <f>MONTH(B447)</f>
        <v>7</v>
      </c>
      <c r="D447" t="inlineStr">
        <is>
          <t>Grand Bassa</t>
        </is>
      </c>
      <c r="E447" t="inlineStr">
        <is>
          <t>Edina - Health Facility Supply</t>
        </is>
      </c>
      <c r="F447" t="inlineStr">
        <is>
          <t>Health Facility Supply</t>
        </is>
      </c>
      <c r="G447" t="inlineStr">
        <is>
          <t>Water</t>
        </is>
      </c>
      <c r="H447" t="inlineStr">
        <is>
          <t>Manganese</t>
        </is>
      </c>
      <c r="I447" t="n">
        <v>0.82</v>
      </c>
      <c r="J447" t="inlineStr">
        <is>
          <t>mg/L</t>
        </is>
      </c>
      <c r="K447" t="n">
        <v>0</v>
      </c>
      <c r="L447" t="n">
        <v>0.4</v>
      </c>
      <c r="M447" t="str">
        <f>IF(AND(I447&gt;=K447,I447&lt;=L447),"Yes","No")</f>
        <v>No</v>
      </c>
      <c r="N447" s="34">
        <f>IF(L447=0,"",I447/L447)</f>
        <v>2.05</v>
      </c>
      <c r="O447" s="33" t="n">
        <v>1200</v>
      </c>
      <c r="P447" t="inlineStr">
        <is>
          <t>Edina Health Center</t>
        </is>
      </c>
      <c r="Q447" t="inlineStr">
        <is>
          <t>E. Sebo</t>
        </is>
      </c>
    </row>
    <row r="448">
      <c r="A448" t="inlineStr">
        <is>
          <t>WQ-2026-00445</t>
        </is>
      </c>
      <c r="B448" s="32" t="n">
        <v>46227</v>
      </c>
      <c r="C448" s="33">
        <f>MONTH(B448)</f>
        <v>7</v>
      </c>
      <c r="D448" t="inlineStr">
        <is>
          <t>Montserrado</t>
        </is>
      </c>
      <c r="E448" t="inlineStr">
        <is>
          <t>Brewerville - School Water Point</t>
        </is>
      </c>
      <c r="F448" t="inlineStr">
        <is>
          <t>School Water Point</t>
        </is>
      </c>
      <c r="G448" t="inlineStr">
        <is>
          <t>Water</t>
        </is>
      </c>
      <c r="H448" t="inlineStr">
        <is>
          <t>Turbidity</t>
        </is>
      </c>
      <c r="I448" t="n">
        <v>11.9</v>
      </c>
      <c r="J448" t="inlineStr">
        <is>
          <t>NTU</t>
        </is>
      </c>
      <c r="K448" t="n">
        <v>0</v>
      </c>
      <c r="L448" t="n">
        <v>5</v>
      </c>
      <c r="M448" t="str">
        <f>IF(AND(I448&gt;=K448,I448&lt;=L448),"Yes","No")</f>
        <v>No</v>
      </c>
      <c r="N448" s="34">
        <f>IF(L448=0,"",I448/L448)</f>
        <v>2.38</v>
      </c>
      <c r="O448" s="33" t="n">
        <v>1800</v>
      </c>
      <c r="P448" t="inlineStr">
        <is>
          <t>Benson Hospital</t>
        </is>
      </c>
      <c r="Q448" t="inlineStr">
        <is>
          <t>H. Zolia</t>
        </is>
      </c>
    </row>
    <row r="449">
      <c r="A449" t="inlineStr">
        <is>
          <t>WQ-2026-00446</t>
        </is>
      </c>
      <c r="B449" s="32" t="n">
        <v>46218</v>
      </c>
      <c r="C449" s="33">
        <f>MONTH(B449)</f>
        <v>7</v>
      </c>
      <c r="D449" t="inlineStr">
        <is>
          <t>Nimba</t>
        </is>
      </c>
      <c r="E449" t="inlineStr">
        <is>
          <t>Yekepa - Public Tap Stand</t>
        </is>
      </c>
      <c r="F449" t="inlineStr">
        <is>
          <t>Public Tap Stand</t>
        </is>
      </c>
      <c r="G449" t="inlineStr">
        <is>
          <t>Water</t>
        </is>
      </c>
      <c r="H449" t="inlineStr">
        <is>
          <t>Total Coliform</t>
        </is>
      </c>
      <c r="I449" t="n">
        <v>0</v>
      </c>
      <c r="J449" t="inlineStr">
        <is>
          <t>CFU/100 mL</t>
        </is>
      </c>
      <c r="K449" t="n">
        <v>0</v>
      </c>
      <c r="L449" t="n">
        <v>0</v>
      </c>
      <c r="M449" t="str">
        <f>IF(AND(I449&gt;=K449,I449&lt;=L449),"Yes","No")</f>
        <v>Yes</v>
      </c>
      <c r="N449" s="34">
        <f>IF(L449=0,"",I449/L449)</f>
        <v/>
      </c>
      <c r="O449" s="33" t="n">
        <v>900</v>
      </c>
      <c r="P449" t="inlineStr">
        <is>
          <t>Tappita Referral Hospital</t>
        </is>
      </c>
      <c r="Q449" t="inlineStr">
        <is>
          <t>T. Mulbah</t>
        </is>
      </c>
    </row>
    <row r="450">
      <c r="A450" t="inlineStr">
        <is>
          <t>WQ-2026-00447</t>
        </is>
      </c>
      <c r="B450" s="32" t="n">
        <v>46234</v>
      </c>
      <c r="C450" s="33">
        <f>MONTH(B450)</f>
        <v>7</v>
      </c>
      <c r="D450" t="inlineStr">
        <is>
          <t>Grand Bassa</t>
        </is>
      </c>
      <c r="E450" t="inlineStr">
        <is>
          <t>Owensgrove - Public Tap Stand</t>
        </is>
      </c>
      <c r="F450" t="inlineStr">
        <is>
          <t>Public Tap Stand</t>
        </is>
      </c>
      <c r="G450" t="inlineStr">
        <is>
          <t>Water</t>
        </is>
      </c>
      <c r="H450" t="inlineStr">
        <is>
          <t>Manganese</t>
        </is>
      </c>
      <c r="I450" t="n">
        <v>0.36</v>
      </c>
      <c r="J450" t="inlineStr">
        <is>
          <t>mg/L</t>
        </is>
      </c>
      <c r="K450" t="n">
        <v>0</v>
      </c>
      <c r="L450" t="n">
        <v>0.4</v>
      </c>
      <c r="M450" t="str">
        <f>IF(AND(I450&gt;=K450,I450&lt;=L450),"Yes","No")</f>
        <v>Yes</v>
      </c>
      <c r="N450" s="34">
        <f>IF(L450=0,"",I450/L450)</f>
        <v>0.9</v>
      </c>
      <c r="O450" s="33" t="n">
        <v>1800</v>
      </c>
      <c r="P450" t="inlineStr">
        <is>
          <t>Edina Health Center</t>
        </is>
      </c>
      <c r="Q450" t="inlineStr">
        <is>
          <t>A. Kollie</t>
        </is>
      </c>
    </row>
    <row r="451">
      <c r="A451" t="inlineStr">
        <is>
          <t>WQ-2026-00448</t>
        </is>
      </c>
      <c r="B451" s="32" t="n">
        <v>46217</v>
      </c>
      <c r="C451" s="33">
        <f>MONTH(B451)</f>
        <v>7</v>
      </c>
      <c r="D451" t="inlineStr">
        <is>
          <t>Nimba</t>
        </is>
      </c>
      <c r="E451" t="inlineStr">
        <is>
          <t>Ganta - Hand-Dug Well</t>
        </is>
      </c>
      <c r="F451" t="inlineStr">
        <is>
          <t>Hand-Dug Well</t>
        </is>
      </c>
      <c r="G451" t="inlineStr">
        <is>
          <t>Water</t>
        </is>
      </c>
      <c r="H451" t="inlineStr">
        <is>
          <t>E. coli</t>
        </is>
      </c>
      <c r="I451" t="n">
        <v>0</v>
      </c>
      <c r="J451" t="inlineStr">
        <is>
          <t>CFU/100 mL</t>
        </is>
      </c>
      <c r="K451" t="n">
        <v>0</v>
      </c>
      <c r="L451" t="n">
        <v>0</v>
      </c>
      <c r="M451" t="str">
        <f>IF(AND(I451&gt;=K451,I451&lt;=L451),"Yes","No")</f>
        <v>Yes</v>
      </c>
      <c r="N451" s="34">
        <f>IF(L451=0,"",I451/L451)</f>
        <v/>
      </c>
      <c r="O451" s="33" t="n">
        <v>2500</v>
      </c>
      <c r="P451" t="inlineStr">
        <is>
          <t>Tappita Referral Hospital</t>
        </is>
      </c>
      <c r="Q451" t="inlineStr">
        <is>
          <t>E. Sebo</t>
        </is>
      </c>
    </row>
    <row r="452">
      <c r="A452" t="inlineStr">
        <is>
          <t>WQ-2026-00449</t>
        </is>
      </c>
      <c r="B452" s="32" t="n">
        <v>46221</v>
      </c>
      <c r="C452" s="33">
        <f>MONTH(B452)</f>
        <v>7</v>
      </c>
      <c r="D452" t="inlineStr">
        <is>
          <t>Margibi</t>
        </is>
      </c>
      <c r="E452" t="inlineStr">
        <is>
          <t>Harbel - Hand-Dug Well</t>
        </is>
      </c>
      <c r="F452" t="inlineStr">
        <is>
          <t>Hand-Dug Well</t>
        </is>
      </c>
      <c r="G452" t="inlineStr">
        <is>
          <t>Water</t>
        </is>
      </c>
      <c r="H452" t="inlineStr">
        <is>
          <t>Manganese</t>
        </is>
      </c>
      <c r="I452" t="n">
        <v>0.14</v>
      </c>
      <c r="J452" t="inlineStr">
        <is>
          <t>mg/L</t>
        </is>
      </c>
      <c r="K452" t="n">
        <v>0</v>
      </c>
      <c r="L452" t="n">
        <v>0.4</v>
      </c>
      <c r="M452" t="str">
        <f>IF(AND(I452&gt;=K452,I452&lt;=L452),"Yes","No")</f>
        <v>Yes</v>
      </c>
      <c r="N452" s="34">
        <f>IF(L452=0,"",I452/L452)</f>
        <v>0.35</v>
      </c>
      <c r="O452" s="33" t="n">
        <v>350</v>
      </c>
      <c r="P452" t="inlineStr">
        <is>
          <t>C.H. Rennie Hospital</t>
        </is>
      </c>
      <c r="Q452" t="inlineStr">
        <is>
          <t>B. Kpadeh</t>
        </is>
      </c>
    </row>
    <row r="453">
      <c r="A453" t="inlineStr">
        <is>
          <t>AQ-2026-00450</t>
        </is>
      </c>
      <c r="B453" s="32" t="n">
        <v>46230</v>
      </c>
      <c r="C453" s="33">
        <f>MONTH(B453)</f>
        <v>7</v>
      </c>
      <c r="D453" t="inlineStr">
        <is>
          <t>Montserrado</t>
        </is>
      </c>
      <c r="E453" t="inlineStr">
        <is>
          <t>Brewerville - Residential Area</t>
        </is>
      </c>
      <c r="F453" t="inlineStr">
        <is>
          <t>Residential Area</t>
        </is>
      </c>
      <c r="G453" t="inlineStr">
        <is>
          <t>Air</t>
        </is>
      </c>
      <c r="H453" t="inlineStr">
        <is>
          <t>Sulphur Dioxide (SO2)</t>
        </is>
      </c>
      <c r="I453" t="n">
        <v>117</v>
      </c>
      <c r="J453" t="inlineStr">
        <is>
          <t>ug/m3</t>
        </is>
      </c>
      <c r="K453" t="n">
        <v>0</v>
      </c>
      <c r="L453" t="n">
        <v>125</v>
      </c>
      <c r="M453" t="str">
        <f>IF(AND(I453&gt;=K453,I453&lt;=L453),"Yes","No")</f>
        <v>Yes</v>
      </c>
      <c r="N453" s="34">
        <f>IF(L453=0,"",I453/L453)</f>
        <v>0.936</v>
      </c>
      <c r="O453" s="33" t="n">
        <v>0</v>
      </c>
      <c r="P453" t="inlineStr">
        <is>
          <t>Redemption Hospital</t>
        </is>
      </c>
      <c r="Q453" t="inlineStr">
        <is>
          <t>B. Kpadeh</t>
        </is>
      </c>
    </row>
    <row r="454">
      <c r="A454" t="inlineStr">
        <is>
          <t>RD-2026-00451</t>
        </is>
      </c>
      <c r="B454" s="32" t="n">
        <v>46232</v>
      </c>
      <c r="C454" s="33">
        <f>MONTH(B454)</f>
        <v>7</v>
      </c>
      <c r="D454" t="inlineStr">
        <is>
          <t>Lofa</t>
        </is>
      </c>
      <c r="E454" t="inlineStr">
        <is>
          <t>Voinjama - Industrial Site</t>
        </is>
      </c>
      <c r="F454" t="inlineStr">
        <is>
          <t>Industrial Site</t>
        </is>
      </c>
      <c r="G454" t="inlineStr">
        <is>
          <t>Ambient Radiation</t>
        </is>
      </c>
      <c r="H454" t="inlineStr">
        <is>
          <t>Gamma Dose Rate</t>
        </is>
      </c>
      <c r="I454" t="n">
        <v>0.48</v>
      </c>
      <c r="J454" t="inlineStr">
        <is>
          <t>uSv/h</t>
        </is>
      </c>
      <c r="K454" t="n">
        <v>0</v>
      </c>
      <c r="L454" t="n">
        <v>0.3</v>
      </c>
      <c r="M454" t="str">
        <f>IF(AND(I454&gt;=K454,I454&lt;=L454),"Yes","No")</f>
        <v>No</v>
      </c>
      <c r="N454" s="34">
        <f>IF(L454=0,"",I454/L454)</f>
        <v>1.6</v>
      </c>
      <c r="O454" s="33" t="n">
        <v>0</v>
      </c>
      <c r="P454" t="inlineStr">
        <is>
          <t>Zorzor Hospital</t>
        </is>
      </c>
      <c r="Q454" t="inlineStr">
        <is>
          <t>F. Gbato</t>
        </is>
      </c>
    </row>
    <row r="455">
      <c r="A455" t="inlineStr">
        <is>
          <t>WQ-2026-00452</t>
        </is>
      </c>
      <c r="B455" s="32" t="n">
        <v>46224</v>
      </c>
      <c r="C455" s="33">
        <f>MONTH(B455)</f>
        <v>7</v>
      </c>
      <c r="D455" t="inlineStr">
        <is>
          <t>Grand Cape Mount</t>
        </is>
      </c>
      <c r="E455" t="inlineStr">
        <is>
          <t>Sinje - River / Stream Intake</t>
        </is>
      </c>
      <c r="F455" t="inlineStr">
        <is>
          <t>River / Stream Intake</t>
        </is>
      </c>
      <c r="G455" t="inlineStr">
        <is>
          <t>Water</t>
        </is>
      </c>
      <c r="H455" t="inlineStr">
        <is>
          <t>Lead</t>
        </is>
      </c>
      <c r="I455" t="n">
        <v>0.0078</v>
      </c>
      <c r="J455" t="inlineStr">
        <is>
          <t>mg/L</t>
        </is>
      </c>
      <c r="K455" t="n">
        <v>0</v>
      </c>
      <c r="L455" t="n">
        <v>0.01</v>
      </c>
      <c r="M455" t="str">
        <f>IF(AND(I455&gt;=K455,I455&lt;=L455),"Yes","No")</f>
        <v>Yes</v>
      </c>
      <c r="N455" s="34">
        <f>IF(L455=0,"",I455/L455)</f>
        <v>0.78</v>
      </c>
      <c r="O455" s="33" t="n">
        <v>500</v>
      </c>
      <c r="P455" t="inlineStr">
        <is>
          <t>Sinje Health Center</t>
        </is>
      </c>
      <c r="Q455" t="inlineStr">
        <is>
          <t>P. Wleh</t>
        </is>
      </c>
    </row>
    <row r="456">
      <c r="A456" t="inlineStr">
        <is>
          <t>RD-2026-00453</t>
        </is>
      </c>
      <c r="B456" s="32" t="n">
        <v>46216</v>
      </c>
      <c r="C456" s="33">
        <f>MONTH(B456)</f>
        <v>7</v>
      </c>
      <c r="D456" t="inlineStr">
        <is>
          <t>Lofa</t>
        </is>
      </c>
      <c r="E456" t="inlineStr">
        <is>
          <t>Kolahun - Industrial Site</t>
        </is>
      </c>
      <c r="F456" t="inlineStr">
        <is>
          <t>Industrial Site</t>
        </is>
      </c>
      <c r="G456" t="inlineStr">
        <is>
          <t>Ambient Radiation</t>
        </is>
      </c>
      <c r="H456" t="inlineStr">
        <is>
          <t>Gamma Dose Rate</t>
        </is>
      </c>
      <c r="I456" t="n">
        <v>0.09</v>
      </c>
      <c r="J456" t="inlineStr">
        <is>
          <t>uSv/h</t>
        </is>
      </c>
      <c r="K456" t="n">
        <v>0</v>
      </c>
      <c r="L456" t="n">
        <v>0.3</v>
      </c>
      <c r="M456" t="str">
        <f>IF(AND(I456&gt;=K456,I456&lt;=L456),"Yes","No")</f>
        <v>Yes</v>
      </c>
      <c r="N456" s="34">
        <f>IF(L456=0,"",I456/L456)</f>
        <v>0.3</v>
      </c>
      <c r="O456" s="33" t="n">
        <v>0</v>
      </c>
      <c r="P456" t="inlineStr">
        <is>
          <t>Zorzor Hospital</t>
        </is>
      </c>
      <c r="Q456" t="inlineStr">
        <is>
          <t>T. Mulbah</t>
        </is>
      </c>
    </row>
    <row r="457">
      <c r="A457" t="inlineStr">
        <is>
          <t>RD-2026-00454</t>
        </is>
      </c>
      <c r="B457" s="32" t="n">
        <v>46220</v>
      </c>
      <c r="C457" s="33">
        <f>MONTH(B457)</f>
        <v>7</v>
      </c>
      <c r="D457" t="inlineStr">
        <is>
          <t>Margibi</t>
        </is>
      </c>
      <c r="E457" t="inlineStr">
        <is>
          <t>Weala - Industrial Site</t>
        </is>
      </c>
      <c r="F457" t="inlineStr">
        <is>
          <t>Industrial Site</t>
        </is>
      </c>
      <c r="G457" t="inlineStr">
        <is>
          <t>Ambient Radiation</t>
        </is>
      </c>
      <c r="H457" t="inlineStr">
        <is>
          <t>Gamma Dose Rate</t>
        </is>
      </c>
      <c r="I457" t="n">
        <v>0.1</v>
      </c>
      <c r="J457" t="inlineStr">
        <is>
          <t>uSv/h</t>
        </is>
      </c>
      <c r="K457" t="n">
        <v>0</v>
      </c>
      <c r="L457" t="n">
        <v>0.3</v>
      </c>
      <c r="M457" t="str">
        <f>IF(AND(I457&gt;=K457,I457&lt;=L457),"Yes","No")</f>
        <v>Yes</v>
      </c>
      <c r="N457" s="34">
        <f>IF(L457=0,"",I457/L457)</f>
        <v>0.3333333333</v>
      </c>
      <c r="O457" s="33" t="n">
        <v>0</v>
      </c>
      <c r="P457" t="inlineStr">
        <is>
          <t>Harbel Health Center</t>
        </is>
      </c>
      <c r="Q457" t="inlineStr">
        <is>
          <t>S. Dolo</t>
        </is>
      </c>
    </row>
    <row r="458">
      <c r="A458" t="inlineStr">
        <is>
          <t>WQ-2026-00455</t>
        </is>
      </c>
      <c r="B458" s="32" t="n">
        <v>46221</v>
      </c>
      <c r="C458" s="33">
        <f>MONTH(B458)</f>
        <v>7</v>
      </c>
      <c r="D458" t="inlineStr">
        <is>
          <t>Lofa</t>
        </is>
      </c>
      <c r="E458" t="inlineStr">
        <is>
          <t>Zorzor - River / Stream Intake</t>
        </is>
      </c>
      <c r="F458" t="inlineStr">
        <is>
          <t>River / Stream Intake</t>
        </is>
      </c>
      <c r="G458" t="inlineStr">
        <is>
          <t>Water</t>
        </is>
      </c>
      <c r="H458" t="inlineStr">
        <is>
          <t>Arsenic</t>
        </is>
      </c>
      <c r="I458" t="n">
        <v>0.0225</v>
      </c>
      <c r="J458" t="inlineStr">
        <is>
          <t>mg/L</t>
        </is>
      </c>
      <c r="K458" t="n">
        <v>0</v>
      </c>
      <c r="L458" t="n">
        <v>0.01</v>
      </c>
      <c r="M458" t="str">
        <f>IF(AND(I458&gt;=K458,I458&lt;=L458),"Yes","No")</f>
        <v>No</v>
      </c>
      <c r="N458" s="34">
        <f>IF(L458=0,"",I458/L458)</f>
        <v>2.25</v>
      </c>
      <c r="O458" s="33" t="n">
        <v>120</v>
      </c>
      <c r="P458" t="inlineStr">
        <is>
          <t>Foya Health Center</t>
        </is>
      </c>
      <c r="Q458" t="inlineStr">
        <is>
          <t>M. Toe</t>
        </is>
      </c>
    </row>
    <row r="459">
      <c r="A459" t="inlineStr">
        <is>
          <t>SL-2026-00456</t>
        </is>
      </c>
      <c r="B459" s="32" t="n">
        <v>46226</v>
      </c>
      <c r="C459" s="33">
        <f>MONTH(B459)</f>
        <v>7</v>
      </c>
      <c r="D459" t="inlineStr">
        <is>
          <t>Montserrado</t>
        </is>
      </c>
      <c r="E459" t="inlineStr">
        <is>
          <t>West Point - School Grounds</t>
        </is>
      </c>
      <c r="F459" t="inlineStr">
        <is>
          <t>School Grounds</t>
        </is>
      </c>
      <c r="G459" t="inlineStr">
        <is>
          <t>Soil</t>
        </is>
      </c>
      <c r="H459" t="inlineStr">
        <is>
          <t>Lead</t>
        </is>
      </c>
      <c r="I459" t="n">
        <v>6</v>
      </c>
      <c r="J459" t="inlineStr">
        <is>
          <t>mg/kg</t>
        </is>
      </c>
      <c r="K459" t="n">
        <v>0</v>
      </c>
      <c r="L459" t="n">
        <v>100</v>
      </c>
      <c r="M459" t="str">
        <f>IF(AND(I459&gt;=K459,I459&lt;=L459),"Yes","No")</f>
        <v>Yes</v>
      </c>
      <c r="N459" s="34">
        <f>IF(L459=0,"",I459/L459)</f>
        <v>0.06</v>
      </c>
      <c r="O459" s="33" t="n">
        <v>2200</v>
      </c>
      <c r="P459" t="inlineStr">
        <is>
          <t>Redemption Hospital</t>
        </is>
      </c>
      <c r="Q459" t="inlineStr">
        <is>
          <t>T. Mulbah</t>
        </is>
      </c>
    </row>
    <row r="460">
      <c r="A460" t="inlineStr">
        <is>
          <t>WQ-2026-00457</t>
        </is>
      </c>
      <c r="B460" s="32" t="n">
        <v>46231</v>
      </c>
      <c r="C460" s="33">
        <f>MONTH(B460)</f>
        <v>7</v>
      </c>
      <c r="D460" t="inlineStr">
        <is>
          <t>Sinoe</t>
        </is>
      </c>
      <c r="E460" t="inlineStr">
        <is>
          <t>Juazon - Hand-Dug Well</t>
        </is>
      </c>
      <c r="F460" t="inlineStr">
        <is>
          <t>Hand-Dug Well</t>
        </is>
      </c>
      <c r="G460" t="inlineStr">
        <is>
          <t>Water</t>
        </is>
      </c>
      <c r="H460" t="inlineStr">
        <is>
          <t>Arsenic</t>
        </is>
      </c>
      <c r="I460" t="n">
        <v>0.0333</v>
      </c>
      <c r="J460" t="inlineStr">
        <is>
          <t>mg/L</t>
        </is>
      </c>
      <c r="K460" t="n">
        <v>0</v>
      </c>
      <c r="L460" t="n">
        <v>0.01</v>
      </c>
      <c r="M460" t="str">
        <f>IF(AND(I460&gt;=K460,I460&lt;=L460),"Yes","No")</f>
        <v>No</v>
      </c>
      <c r="N460" s="34">
        <f>IF(L460=0,"",I460/L460)</f>
        <v>3.33</v>
      </c>
      <c r="O460" s="33" t="n">
        <v>2500</v>
      </c>
      <c r="P460" t="inlineStr">
        <is>
          <t>Greenville Health Center</t>
        </is>
      </c>
      <c r="Q460" t="inlineStr">
        <is>
          <t>A. Kollie</t>
        </is>
      </c>
    </row>
    <row r="461">
      <c r="A461" t="inlineStr">
        <is>
          <t>WQ-2026-00458</t>
        </is>
      </c>
      <c r="B461" s="32" t="n">
        <v>46232</v>
      </c>
      <c r="C461" s="33">
        <f>MONTH(B461)</f>
        <v>7</v>
      </c>
      <c r="D461" t="inlineStr">
        <is>
          <t>Bong</t>
        </is>
      </c>
      <c r="E461" t="inlineStr">
        <is>
          <t>Palala - School Water Point</t>
        </is>
      </c>
      <c r="F461" t="inlineStr">
        <is>
          <t>School Water Point</t>
        </is>
      </c>
      <c r="G461" t="inlineStr">
        <is>
          <t>Water</t>
        </is>
      </c>
      <c r="H461" t="inlineStr">
        <is>
          <t>Lead</t>
        </is>
      </c>
      <c r="I461" t="n">
        <v>0.006</v>
      </c>
      <c r="J461" t="inlineStr">
        <is>
          <t>mg/L</t>
        </is>
      </c>
      <c r="K461" t="n">
        <v>0</v>
      </c>
      <c r="L461" t="n">
        <v>0.01</v>
      </c>
      <c r="M461" t="str">
        <f>IF(AND(I461&gt;=K461,I461&lt;=L461),"Yes","No")</f>
        <v>Yes</v>
      </c>
      <c r="N461" s="34">
        <f>IF(L461=0,"",I461/L461)</f>
        <v>0.6</v>
      </c>
      <c r="O461" s="33" t="n">
        <v>2500</v>
      </c>
      <c r="P461" t="inlineStr">
        <is>
          <t>Phebe Hospital</t>
        </is>
      </c>
      <c r="Q461" t="inlineStr">
        <is>
          <t>F. Gbato</t>
        </is>
      </c>
    </row>
    <row r="462">
      <c r="A462" t="inlineStr">
        <is>
          <t>WQ-2026-00459</t>
        </is>
      </c>
      <c r="B462" s="32" t="n">
        <v>46221</v>
      </c>
      <c r="C462" s="33">
        <f>MONTH(B462)</f>
        <v>7</v>
      </c>
      <c r="D462" t="inlineStr">
        <is>
          <t>Montserrado</t>
        </is>
      </c>
      <c r="E462" t="inlineStr">
        <is>
          <t>Caldwell - School Water Point</t>
        </is>
      </c>
      <c r="F462" t="inlineStr">
        <is>
          <t>School Water Point</t>
        </is>
      </c>
      <c r="G462" t="inlineStr">
        <is>
          <t>Water</t>
        </is>
      </c>
      <c r="H462" t="inlineStr">
        <is>
          <t>Total Coliform</t>
        </is>
      </c>
      <c r="I462" t="n">
        <v>24</v>
      </c>
      <c r="J462" t="inlineStr">
        <is>
          <t>CFU/100 mL</t>
        </is>
      </c>
      <c r="K462" t="n">
        <v>0</v>
      </c>
      <c r="L462" t="n">
        <v>0</v>
      </c>
      <c r="M462" t="str">
        <f>IF(AND(I462&gt;=K462,I462&lt;=L462),"Yes","No")</f>
        <v>No</v>
      </c>
      <c r="N462" s="34">
        <f>IF(L462=0,"",I462/L462)</f>
        <v/>
      </c>
      <c r="O462" s="33" t="n">
        <v>1200</v>
      </c>
      <c r="P462" t="inlineStr">
        <is>
          <t>St. Joseph's Catholic Hospital</t>
        </is>
      </c>
      <c r="Q462" t="inlineStr">
        <is>
          <t>E. Sebo</t>
        </is>
      </c>
    </row>
    <row r="463">
      <c r="A463" t="inlineStr">
        <is>
          <t>WQ-2026-00460</t>
        </is>
      </c>
      <c r="B463" s="32" t="n">
        <v>46227</v>
      </c>
      <c r="C463" s="33">
        <f>MONTH(B463)</f>
        <v>7</v>
      </c>
      <c r="D463" t="inlineStr">
        <is>
          <t>Montserrado</t>
        </is>
      </c>
      <c r="E463" t="inlineStr">
        <is>
          <t>Sinkor - School Water Point</t>
        </is>
      </c>
      <c r="F463" t="inlineStr">
        <is>
          <t>School Water Point</t>
        </is>
      </c>
      <c r="G463" t="inlineStr">
        <is>
          <t>Water</t>
        </is>
      </c>
      <c r="H463" t="inlineStr">
        <is>
          <t>Lead</t>
        </is>
      </c>
      <c r="I463" t="n">
        <v>0.0335</v>
      </c>
      <c r="J463" t="inlineStr">
        <is>
          <t>mg/L</t>
        </is>
      </c>
      <c r="K463" t="n">
        <v>0</v>
      </c>
      <c r="L463" t="n">
        <v>0.01</v>
      </c>
      <c r="M463" t="str">
        <f>IF(AND(I463&gt;=K463,I463&lt;=L463),"Yes","No")</f>
        <v>No</v>
      </c>
      <c r="N463" s="34">
        <f>IF(L463=0,"",I463/L463)</f>
        <v>3.35</v>
      </c>
      <c r="O463" s="33" t="n">
        <v>1200</v>
      </c>
      <c r="P463" t="inlineStr">
        <is>
          <t>JFK Memorial Hospital</t>
        </is>
      </c>
      <c r="Q463" t="inlineStr">
        <is>
          <t>T. Mulbah</t>
        </is>
      </c>
    </row>
    <row r="464">
      <c r="A464" t="inlineStr">
        <is>
          <t>AQ-2026-00461</t>
        </is>
      </c>
      <c r="B464" s="32" t="n">
        <v>46226</v>
      </c>
      <c r="C464" s="33">
        <f>MONTH(B464)</f>
        <v>7</v>
      </c>
      <c r="D464" t="inlineStr">
        <is>
          <t>Grand Bassa</t>
        </is>
      </c>
      <c r="E464" t="inlineStr">
        <is>
          <t>Owensgrove - Urban Roadside</t>
        </is>
      </c>
      <c r="F464" t="inlineStr">
        <is>
          <t>Urban Roadside</t>
        </is>
      </c>
      <c r="G464" t="inlineStr">
        <is>
          <t>Air</t>
        </is>
      </c>
      <c r="H464" t="inlineStr">
        <is>
          <t>PM10</t>
        </is>
      </c>
      <c r="I464" t="n">
        <v>47</v>
      </c>
      <c r="J464" t="inlineStr">
        <is>
          <t>ug/m3</t>
        </is>
      </c>
      <c r="K464" t="n">
        <v>0</v>
      </c>
      <c r="L464" t="n">
        <v>50</v>
      </c>
      <c r="M464" t="str">
        <f>IF(AND(I464&gt;=K464,I464&lt;=L464),"Yes","No")</f>
        <v>Yes</v>
      </c>
      <c r="N464" s="34">
        <f>IF(L464=0,"",I464/L464)</f>
        <v>0.94</v>
      </c>
      <c r="O464" s="33" t="n">
        <v>450</v>
      </c>
      <c r="P464" t="inlineStr">
        <is>
          <t>Buchanan Government Hospital</t>
        </is>
      </c>
      <c r="Q464" t="inlineStr">
        <is>
          <t>B. Kpadeh</t>
        </is>
      </c>
    </row>
    <row r="465">
      <c r="A465" t="inlineStr">
        <is>
          <t>RD-2026-00462</t>
        </is>
      </c>
      <c r="B465" s="32" t="n">
        <v>46210</v>
      </c>
      <c r="C465" s="33">
        <f>MONTH(B465)</f>
        <v>7</v>
      </c>
      <c r="D465" t="inlineStr">
        <is>
          <t>Bong</t>
        </is>
      </c>
      <c r="E465" t="inlineStr">
        <is>
          <t>Totota - Dumpsite Perimeter</t>
        </is>
      </c>
      <c r="F465" t="inlineStr">
        <is>
          <t>Dumpsite Perimeter</t>
        </is>
      </c>
      <c r="G465" t="inlineStr">
        <is>
          <t>Ambient Radiation</t>
        </is>
      </c>
      <c r="H465" t="inlineStr">
        <is>
          <t>Gamma Dose Rate</t>
        </is>
      </c>
      <c r="I465" t="n">
        <v>0.13</v>
      </c>
      <c r="J465" t="inlineStr">
        <is>
          <t>uSv/h</t>
        </is>
      </c>
      <c r="K465" t="n">
        <v>0</v>
      </c>
      <c r="L465" t="n">
        <v>0.3</v>
      </c>
      <c r="M465" t="str">
        <f>IF(AND(I465&gt;=K465,I465&lt;=L465),"Yes","No")</f>
        <v>Yes</v>
      </c>
      <c r="N465" s="34">
        <f>IF(L465=0,"",I465/L465)</f>
        <v>0.4333333333</v>
      </c>
      <c r="O465" s="33" t="n">
        <v>0</v>
      </c>
      <c r="P465" t="inlineStr">
        <is>
          <t>Gbarnga Health Center</t>
        </is>
      </c>
      <c r="Q465" t="inlineStr">
        <is>
          <t>P. Wleh</t>
        </is>
      </c>
    </row>
    <row r="466">
      <c r="A466" t="inlineStr">
        <is>
          <t>AQ-2026-00463</t>
        </is>
      </c>
      <c r="B466" s="32" t="n">
        <v>46229</v>
      </c>
      <c r="C466" s="33">
        <f>MONTH(B466)</f>
        <v>7</v>
      </c>
      <c r="D466" t="inlineStr">
        <is>
          <t>Montserrado</t>
        </is>
      </c>
      <c r="E466" t="inlineStr">
        <is>
          <t>New Kru Town - Dumpsite Perimeter</t>
        </is>
      </c>
      <c r="F466" t="inlineStr">
        <is>
          <t>Dumpsite Perimeter</t>
        </is>
      </c>
      <c r="G466" t="inlineStr">
        <is>
          <t>Air</t>
        </is>
      </c>
      <c r="H466" t="inlineStr">
        <is>
          <t>Nitrogen Dioxide (NO2)</t>
        </is>
      </c>
      <c r="I466" t="n">
        <v>23.2</v>
      </c>
      <c r="J466" t="inlineStr">
        <is>
          <t>ug/m3</t>
        </is>
      </c>
      <c r="K466" t="n">
        <v>0</v>
      </c>
      <c r="L466" t="n">
        <v>40</v>
      </c>
      <c r="M466" t="str">
        <f>IF(AND(I466&gt;=K466,I466&lt;=L466),"Yes","No")</f>
        <v>Yes</v>
      </c>
      <c r="N466" s="34">
        <f>IF(L466=0,"",I466/L466)</f>
        <v>0.58</v>
      </c>
      <c r="O466" s="33" t="n">
        <v>6000</v>
      </c>
      <c r="P466" t="inlineStr">
        <is>
          <t>Benson Hospital</t>
        </is>
      </c>
      <c r="Q466" t="inlineStr">
        <is>
          <t>T. Mulbah</t>
        </is>
      </c>
    </row>
    <row r="467">
      <c r="A467" t="inlineStr">
        <is>
          <t>SL-2026-00464</t>
        </is>
      </c>
      <c r="B467" s="32" t="n">
        <v>46221</v>
      </c>
      <c r="C467" s="33">
        <f>MONTH(B467)</f>
        <v>7</v>
      </c>
      <c r="D467" t="inlineStr">
        <is>
          <t>Grand Bassa</t>
        </is>
      </c>
      <c r="E467" t="inlineStr">
        <is>
          <t>Edina - School Grounds</t>
        </is>
      </c>
      <c r="F467" t="inlineStr">
        <is>
          <t>School Grounds</t>
        </is>
      </c>
      <c r="G467" t="inlineStr">
        <is>
          <t>Soil</t>
        </is>
      </c>
      <c r="H467" t="inlineStr">
        <is>
          <t>Mercury</t>
        </is>
      </c>
      <c r="I467" t="n">
        <v>3.5</v>
      </c>
      <c r="J467" t="inlineStr">
        <is>
          <t>mg/kg</t>
        </is>
      </c>
      <c r="K467" t="n">
        <v>0</v>
      </c>
      <c r="L467" t="n">
        <v>1</v>
      </c>
      <c r="M467" t="str">
        <f>IF(AND(I467&gt;=K467,I467&lt;=L467),"Yes","No")</f>
        <v>No</v>
      </c>
      <c r="N467" s="34">
        <f>IF(L467=0,"",I467/L467)</f>
        <v>3.5</v>
      </c>
      <c r="O467" s="33" t="n">
        <v>3500</v>
      </c>
      <c r="P467" t="inlineStr">
        <is>
          <t>Buchanan Government Hospital</t>
        </is>
      </c>
      <c r="Q467" t="inlineStr">
        <is>
          <t>E. Sebo</t>
        </is>
      </c>
    </row>
    <row r="468">
      <c r="A468" t="inlineStr">
        <is>
          <t>RD-2026-00465</t>
        </is>
      </c>
      <c r="B468" s="32" t="n">
        <v>46230</v>
      </c>
      <c r="C468" s="33">
        <f>MONTH(B468)</f>
        <v>7</v>
      </c>
      <c r="D468" t="inlineStr">
        <is>
          <t>Grand Bassa</t>
        </is>
      </c>
      <c r="E468" t="inlineStr">
        <is>
          <t>St. John River - Urban Background</t>
        </is>
      </c>
      <c r="F468" t="inlineStr">
        <is>
          <t>Urban Background</t>
        </is>
      </c>
      <c r="G468" t="inlineStr">
        <is>
          <t>Ambient Radiation</t>
        </is>
      </c>
      <c r="H468" t="inlineStr">
        <is>
          <t>Gamma Dose Rate</t>
        </is>
      </c>
      <c r="I468" t="n">
        <v>0.16</v>
      </c>
      <c r="J468" t="inlineStr">
        <is>
          <t>uSv/h</t>
        </is>
      </c>
      <c r="K468" t="n">
        <v>0</v>
      </c>
      <c r="L468" t="n">
        <v>0.3</v>
      </c>
      <c r="M468" t="str">
        <f>IF(AND(I468&gt;=K468,I468&lt;=L468),"Yes","No")</f>
        <v>Yes</v>
      </c>
      <c r="N468" s="34">
        <f>IF(L468=0,"",I468/L468)</f>
        <v>0.5333333333</v>
      </c>
      <c r="O468" s="33" t="n">
        <v>0</v>
      </c>
      <c r="P468" t="inlineStr">
        <is>
          <t>Edina Health Center</t>
        </is>
      </c>
      <c r="Q468" t="inlineStr">
        <is>
          <t>P. Wleh</t>
        </is>
      </c>
    </row>
    <row r="469">
      <c r="A469" t="inlineStr">
        <is>
          <t>WQ-2026-00466</t>
        </is>
      </c>
      <c r="B469" s="32" t="n">
        <v>46228</v>
      </c>
      <c r="C469" s="33">
        <f>MONTH(B469)</f>
        <v>7</v>
      </c>
      <c r="D469" t="inlineStr">
        <is>
          <t>Margibi</t>
        </is>
      </c>
      <c r="E469" t="inlineStr">
        <is>
          <t>Weala - Health Facility Supply</t>
        </is>
      </c>
      <c r="F469" t="inlineStr">
        <is>
          <t>Health Facility Supply</t>
        </is>
      </c>
      <c r="G469" t="inlineStr">
        <is>
          <t>Water</t>
        </is>
      </c>
      <c r="H469" t="inlineStr">
        <is>
          <t>Nitrate (as NO3)</t>
        </is>
      </c>
      <c r="I469" t="n">
        <v>5.8</v>
      </c>
      <c r="J469" t="inlineStr">
        <is>
          <t>mg/L</t>
        </is>
      </c>
      <c r="K469" t="n">
        <v>0</v>
      </c>
      <c r="L469" t="n">
        <v>10</v>
      </c>
      <c r="M469" t="str">
        <f>IF(AND(I469&gt;=K469,I469&lt;=L469),"Yes","No")</f>
        <v>Yes</v>
      </c>
      <c r="N469" s="34">
        <f>IF(L469=0,"",I469/L469)</f>
        <v>0.58</v>
      </c>
      <c r="O469" s="33" t="n">
        <v>1200</v>
      </c>
      <c r="P469" t="inlineStr">
        <is>
          <t>Harbel Health Center</t>
        </is>
      </c>
      <c r="Q469" t="inlineStr">
        <is>
          <t>E. Sebo</t>
        </is>
      </c>
    </row>
    <row r="470">
      <c r="A470" t="inlineStr">
        <is>
          <t>WQ-2026-00467</t>
        </is>
      </c>
      <c r="B470" s="32" t="n">
        <v>46208</v>
      </c>
      <c r="C470" s="33">
        <f>MONTH(B470)</f>
        <v>7</v>
      </c>
      <c r="D470" t="inlineStr">
        <is>
          <t>Margibi</t>
        </is>
      </c>
      <c r="E470" t="inlineStr">
        <is>
          <t>Weala - River / Stream Intake</t>
        </is>
      </c>
      <c r="F470" t="inlineStr">
        <is>
          <t>River / Stream Intake</t>
        </is>
      </c>
      <c r="G470" t="inlineStr">
        <is>
          <t>Water</t>
        </is>
      </c>
      <c r="H470" t="inlineStr">
        <is>
          <t>E. coli</t>
        </is>
      </c>
      <c r="I470" t="n">
        <v>0</v>
      </c>
      <c r="J470" t="inlineStr">
        <is>
          <t>CFU/100 mL</t>
        </is>
      </c>
      <c r="K470" t="n">
        <v>0</v>
      </c>
      <c r="L470" t="n">
        <v>0</v>
      </c>
      <c r="M470" t="str">
        <f>IF(AND(I470&gt;=K470,I470&lt;=L470),"Yes","No")</f>
        <v>Yes</v>
      </c>
      <c r="N470" s="34">
        <f>IF(L470=0,"",I470/L470)</f>
        <v/>
      </c>
      <c r="O470" s="33" t="n">
        <v>1800</v>
      </c>
      <c r="P470" t="inlineStr">
        <is>
          <t>C.H. Rennie Hospital</t>
        </is>
      </c>
      <c r="Q470" t="inlineStr">
        <is>
          <t>M. Toe</t>
        </is>
      </c>
    </row>
    <row r="471">
      <c r="A471" t="inlineStr">
        <is>
          <t>AQ-2026-00468</t>
        </is>
      </c>
      <c r="B471" s="32" t="n">
        <v>46228</v>
      </c>
      <c r="C471" s="33">
        <f>MONTH(B471)</f>
        <v>7</v>
      </c>
      <c r="D471" t="inlineStr">
        <is>
          <t>Sinoe</t>
        </is>
      </c>
      <c r="E471" t="inlineStr">
        <is>
          <t>Juazon - Dumpsite Perimeter</t>
        </is>
      </c>
      <c r="F471" t="inlineStr">
        <is>
          <t>Dumpsite Perimeter</t>
        </is>
      </c>
      <c r="G471" t="inlineStr">
        <is>
          <t>Air</t>
        </is>
      </c>
      <c r="H471" t="inlineStr">
        <is>
          <t>PM10</t>
        </is>
      </c>
      <c r="I471" t="n">
        <v>4.8</v>
      </c>
      <c r="J471" t="inlineStr">
        <is>
          <t>ug/m3</t>
        </is>
      </c>
      <c r="K471" t="n">
        <v>0</v>
      </c>
      <c r="L471" t="n">
        <v>50</v>
      </c>
      <c r="M471" t="str">
        <f>IF(AND(I471&gt;=K471,I471&lt;=L471),"Yes","No")</f>
        <v>Yes</v>
      </c>
      <c r="N471" s="34">
        <f>IF(L471=0,"",I471/L471)</f>
        <v>0.096</v>
      </c>
      <c r="O471" s="33" t="n">
        <v>450</v>
      </c>
      <c r="P471" t="inlineStr">
        <is>
          <t>F.J. Grante Hospital</t>
        </is>
      </c>
      <c r="Q471" t="inlineStr">
        <is>
          <t>J. Nyeman</t>
        </is>
      </c>
    </row>
    <row r="472">
      <c r="A472" t="inlineStr">
        <is>
          <t>WQ-2026-00469</t>
        </is>
      </c>
      <c r="B472" s="32" t="n">
        <v>46212</v>
      </c>
      <c r="C472" s="33">
        <f>MONTH(B472)</f>
        <v>7</v>
      </c>
      <c r="D472" t="inlineStr">
        <is>
          <t>Sinoe</t>
        </is>
      </c>
      <c r="E472" t="inlineStr">
        <is>
          <t>Juazon - Hand-Dug Well</t>
        </is>
      </c>
      <c r="F472" t="inlineStr">
        <is>
          <t>Hand-Dug Well</t>
        </is>
      </c>
      <c r="G472" t="inlineStr">
        <is>
          <t>Water</t>
        </is>
      </c>
      <c r="H472" t="inlineStr">
        <is>
          <t>Iron</t>
        </is>
      </c>
      <c r="I472" t="n">
        <v>0.66</v>
      </c>
      <c r="J472" t="inlineStr">
        <is>
          <t>mg/L</t>
        </is>
      </c>
      <c r="K472" t="n">
        <v>0</v>
      </c>
      <c r="L472" t="n">
        <v>0.3</v>
      </c>
      <c r="M472" t="str">
        <f>IF(AND(I472&gt;=K472,I472&lt;=L472),"Yes","No")</f>
        <v>No</v>
      </c>
      <c r="N472" s="34">
        <f>IF(L472=0,"",I472/L472)</f>
        <v>2.2</v>
      </c>
      <c r="O472" s="33" t="n">
        <v>240</v>
      </c>
      <c r="P472" t="inlineStr">
        <is>
          <t>Greenville Health Center</t>
        </is>
      </c>
      <c r="Q472" t="inlineStr">
        <is>
          <t>T. Mulbah</t>
        </is>
      </c>
    </row>
    <row r="473">
      <c r="A473" t="inlineStr">
        <is>
          <t>SL-2026-00470</t>
        </is>
      </c>
      <c r="B473" s="32" t="n">
        <v>46253</v>
      </c>
      <c r="C473" s="33">
        <f>MONTH(B473)</f>
        <v>8</v>
      </c>
      <c r="D473" t="inlineStr">
        <is>
          <t>Bong</t>
        </is>
      </c>
      <c r="E473" t="inlineStr">
        <is>
          <t>Firestone Rubber Plantation</t>
        </is>
      </c>
      <c r="F473" t="inlineStr">
        <is>
          <t>Industrial Perimeter</t>
        </is>
      </c>
      <c r="G473" t="inlineStr">
        <is>
          <t>Soil</t>
        </is>
      </c>
      <c r="H473" t="inlineStr">
        <is>
          <t>Mercury</t>
        </is>
      </c>
      <c r="I473" t="n">
        <v>0.7</v>
      </c>
      <c r="J473" t="inlineStr">
        <is>
          <t>mg/kg</t>
        </is>
      </c>
      <c r="K473" t="n">
        <v>0</v>
      </c>
      <c r="L473" t="n">
        <v>1</v>
      </c>
      <c r="M473" t="str">
        <f>IF(AND(I473&gt;=K473,I473&lt;=L473),"Yes","No")</f>
        <v>Yes</v>
      </c>
      <c r="N473" s="34">
        <f>IF(L473=0,"",I473/L473)</f>
        <v>0.7</v>
      </c>
      <c r="O473" s="33" t="n">
        <v>1500</v>
      </c>
      <c r="P473" t="inlineStr">
        <is>
          <t>Phebe Hospital</t>
        </is>
      </c>
      <c r="Q473" t="inlineStr">
        <is>
          <t>P. Wleh</t>
        </is>
      </c>
    </row>
    <row r="474">
      <c r="A474" t="inlineStr">
        <is>
          <t>AQ-2026-00471</t>
        </is>
      </c>
      <c r="B474" s="32" t="n">
        <v>46256</v>
      </c>
      <c r="C474" s="33">
        <f>MONTH(B474)</f>
        <v>8</v>
      </c>
      <c r="D474" t="inlineStr">
        <is>
          <t>Montserrado</t>
        </is>
      </c>
      <c r="E474" t="inlineStr">
        <is>
          <t>Gardnersville - Dumpsite Perimeter</t>
        </is>
      </c>
      <c r="F474" t="inlineStr">
        <is>
          <t>Dumpsite Perimeter</t>
        </is>
      </c>
      <c r="G474" t="inlineStr">
        <is>
          <t>Air</t>
        </is>
      </c>
      <c r="H474" t="inlineStr">
        <is>
          <t>PM2.5</t>
        </is>
      </c>
      <c r="I474" t="n">
        <v>6.3</v>
      </c>
      <c r="J474" t="inlineStr">
        <is>
          <t>ug/m3</t>
        </is>
      </c>
      <c r="K474" t="n">
        <v>0</v>
      </c>
      <c r="L474" t="n">
        <v>25</v>
      </c>
      <c r="M474" t="str">
        <f>IF(AND(I474&gt;=K474,I474&lt;=L474),"Yes","No")</f>
        <v>Yes</v>
      </c>
      <c r="N474" s="34">
        <f>IF(L474=0,"",I474/L474)</f>
        <v>0.252</v>
      </c>
      <c r="O474" s="33" t="n">
        <v>800</v>
      </c>
      <c r="P474" t="inlineStr">
        <is>
          <t>St. Joseph's Catholic Hospital</t>
        </is>
      </c>
      <c r="Q474" t="inlineStr">
        <is>
          <t>T. Mulbah</t>
        </is>
      </c>
    </row>
    <row r="475">
      <c r="A475" t="inlineStr">
        <is>
          <t>SL-2026-00472</t>
        </is>
      </c>
      <c r="B475" s="32" t="n">
        <v>46261</v>
      </c>
      <c r="C475" s="33">
        <f>MONTH(B475)</f>
        <v>8</v>
      </c>
      <c r="D475" t="inlineStr">
        <is>
          <t>Lofa</t>
        </is>
      </c>
      <c r="E475" t="inlineStr">
        <is>
          <t>Zorzor - School Grounds</t>
        </is>
      </c>
      <c r="F475" t="inlineStr">
        <is>
          <t>School Grounds</t>
        </is>
      </c>
      <c r="G475" t="inlineStr">
        <is>
          <t>Soil</t>
        </is>
      </c>
      <c r="H475" t="inlineStr">
        <is>
          <t>Mercury</t>
        </is>
      </c>
      <c r="I475" t="n">
        <v>2.7</v>
      </c>
      <c r="J475" t="inlineStr">
        <is>
          <t>mg/kg</t>
        </is>
      </c>
      <c r="K475" t="n">
        <v>0</v>
      </c>
      <c r="L475" t="n">
        <v>1</v>
      </c>
      <c r="M475" t="str">
        <f>IF(AND(I475&gt;=K475,I475&lt;=L475),"Yes","No")</f>
        <v>No</v>
      </c>
      <c r="N475" s="34">
        <f>IF(L475=0,"",I475/L475)</f>
        <v>2.7</v>
      </c>
      <c r="O475" s="33" t="n">
        <v>3500</v>
      </c>
      <c r="P475" t="inlineStr">
        <is>
          <t>Zorzor Hospital</t>
        </is>
      </c>
      <c r="Q475" t="inlineStr">
        <is>
          <t>E. Sebo</t>
        </is>
      </c>
    </row>
    <row r="476">
      <c r="A476" t="inlineStr">
        <is>
          <t>SL-2026-00473</t>
        </is>
      </c>
      <c r="B476" s="32" t="n">
        <v>46254</v>
      </c>
      <c r="C476" s="33">
        <f>MONTH(B476)</f>
        <v>8</v>
      </c>
      <c r="D476" t="inlineStr">
        <is>
          <t>Nimba</t>
        </is>
      </c>
      <c r="E476" t="inlineStr">
        <is>
          <t>Maryland Oil Palm Estate</t>
        </is>
      </c>
      <c r="F476" t="inlineStr">
        <is>
          <t>Industrial Perimeter</t>
        </is>
      </c>
      <c r="G476" t="inlineStr">
        <is>
          <t>Soil</t>
        </is>
      </c>
      <c r="H476" t="inlineStr">
        <is>
          <t>Cadmium</t>
        </is>
      </c>
      <c r="I476" t="n">
        <v>1.1</v>
      </c>
      <c r="J476" t="inlineStr">
        <is>
          <t>mg/kg</t>
        </is>
      </c>
      <c r="K476" t="n">
        <v>0</v>
      </c>
      <c r="L476" t="n">
        <v>3</v>
      </c>
      <c r="M476" t="str">
        <f>IF(AND(I476&gt;=K476,I476&lt;=L476),"Yes","No")</f>
        <v>Yes</v>
      </c>
      <c r="N476" s="34">
        <f>IF(L476=0,"",I476/L476)</f>
        <v>0.3666666667</v>
      </c>
      <c r="O476" s="33" t="n">
        <v>0</v>
      </c>
      <c r="P476" t="inlineStr">
        <is>
          <t>Saclepea Health Center</t>
        </is>
      </c>
      <c r="Q476" t="inlineStr">
        <is>
          <t>S. Dolo</t>
        </is>
      </c>
    </row>
    <row r="477">
      <c r="A477" t="inlineStr">
        <is>
          <t>WQ-2026-00474</t>
        </is>
      </c>
      <c r="B477" s="32" t="n">
        <v>46262</v>
      </c>
      <c r="C477" s="33">
        <f>MONTH(B477)</f>
        <v>8</v>
      </c>
      <c r="D477" t="inlineStr">
        <is>
          <t>Bong</t>
        </is>
      </c>
      <c r="E477" t="inlineStr">
        <is>
          <t>Palala - School Water Point</t>
        </is>
      </c>
      <c r="F477" t="inlineStr">
        <is>
          <t>School Water Point</t>
        </is>
      </c>
      <c r="G477" t="inlineStr">
        <is>
          <t>Water</t>
        </is>
      </c>
      <c r="H477" t="inlineStr">
        <is>
          <t>Iron</t>
        </is>
      </c>
      <c r="I477" t="n">
        <v>0.01</v>
      </c>
      <c r="J477" t="inlineStr">
        <is>
          <t>mg/L</t>
        </is>
      </c>
      <c r="K477" t="n">
        <v>0</v>
      </c>
      <c r="L477" t="n">
        <v>0.3</v>
      </c>
      <c r="M477" t="str">
        <f>IF(AND(I477&gt;=K477,I477&lt;=L477),"Yes","No")</f>
        <v>Yes</v>
      </c>
      <c r="N477" s="34">
        <f>IF(L477=0,"",I477/L477)</f>
        <v>0.0333333333</v>
      </c>
      <c r="O477" s="33" t="n">
        <v>500</v>
      </c>
      <c r="P477" t="inlineStr">
        <is>
          <t>Phebe Hospital</t>
        </is>
      </c>
      <c r="Q477" t="inlineStr">
        <is>
          <t>P. Wleh</t>
        </is>
      </c>
    </row>
    <row r="478">
      <c r="A478" t="inlineStr">
        <is>
          <t>SL-2026-00475</t>
        </is>
      </c>
      <c r="B478" s="32" t="n">
        <v>46240</v>
      </c>
      <c r="C478" s="33">
        <f>MONTH(B478)</f>
        <v>8</v>
      </c>
      <c r="D478" t="inlineStr">
        <is>
          <t>Maryland</t>
        </is>
      </c>
      <c r="E478" t="inlineStr">
        <is>
          <t>Pleebo - Farmland</t>
        </is>
      </c>
      <c r="F478" t="inlineStr">
        <is>
          <t>Farmland</t>
        </is>
      </c>
      <c r="G478" t="inlineStr">
        <is>
          <t>Soil</t>
        </is>
      </c>
      <c r="H478" t="inlineStr">
        <is>
          <t>Lead</t>
        </is>
      </c>
      <c r="I478" t="n">
        <v>130</v>
      </c>
      <c r="J478" t="inlineStr">
        <is>
          <t>mg/kg</t>
        </is>
      </c>
      <c r="K478" t="n">
        <v>0</v>
      </c>
      <c r="L478" t="n">
        <v>100</v>
      </c>
      <c r="M478" t="str">
        <f>IF(AND(I478&gt;=K478,I478&lt;=L478),"Yes","No")</f>
        <v>No</v>
      </c>
      <c r="N478" s="34">
        <f>IF(L478=0,"",I478/L478)</f>
        <v>1.3</v>
      </c>
      <c r="O478" s="33" t="n">
        <v>800</v>
      </c>
      <c r="P478" t="inlineStr">
        <is>
          <t>Harper Hospital</t>
        </is>
      </c>
      <c r="Q478" t="inlineStr">
        <is>
          <t>J. Nyeman</t>
        </is>
      </c>
    </row>
    <row r="479">
      <c r="A479" t="inlineStr">
        <is>
          <t>WQ-2026-00476</t>
        </is>
      </c>
      <c r="B479" s="32" t="n">
        <v>46245</v>
      </c>
      <c r="C479" s="33">
        <f>MONTH(B479)</f>
        <v>8</v>
      </c>
      <c r="D479" t="inlineStr">
        <is>
          <t>Nimba</t>
        </is>
      </c>
      <c r="E479" t="inlineStr">
        <is>
          <t>Butuo - Hand-Dug Well</t>
        </is>
      </c>
      <c r="F479" t="inlineStr">
        <is>
          <t>Hand-Dug Well</t>
        </is>
      </c>
      <c r="G479" t="inlineStr">
        <is>
          <t>Water</t>
        </is>
      </c>
      <c r="H479" t="inlineStr">
        <is>
          <t>Turbidity</t>
        </is>
      </c>
      <c r="I479" t="n">
        <v>0.6</v>
      </c>
      <c r="J479" t="inlineStr">
        <is>
          <t>NTU</t>
        </is>
      </c>
      <c r="K479" t="n">
        <v>0</v>
      </c>
      <c r="L479" t="n">
        <v>5</v>
      </c>
      <c r="M479" t="str">
        <f>IF(AND(I479&gt;=K479,I479&lt;=L479),"Yes","No")</f>
        <v>Yes</v>
      </c>
      <c r="N479" s="34">
        <f>IF(L479=0,"",I479/L479)</f>
        <v>0.12</v>
      </c>
      <c r="O479" s="33" t="n">
        <v>500</v>
      </c>
      <c r="P479" t="inlineStr">
        <is>
          <t>Tappita Referral Hospital</t>
        </is>
      </c>
      <c r="Q479" t="inlineStr">
        <is>
          <t>E. Sebo</t>
        </is>
      </c>
    </row>
    <row r="480">
      <c r="A480" t="inlineStr">
        <is>
          <t>WQ-2026-00477</t>
        </is>
      </c>
      <c r="B480" s="32" t="n">
        <v>46249</v>
      </c>
      <c r="C480" s="33">
        <f>MONTH(B480)</f>
        <v>8</v>
      </c>
      <c r="D480" t="inlineStr">
        <is>
          <t>Montserrado</t>
        </is>
      </c>
      <c r="E480" t="inlineStr">
        <is>
          <t>Johnsonville - Health Facility Supply</t>
        </is>
      </c>
      <c r="F480" t="inlineStr">
        <is>
          <t>Health Facility Supply</t>
        </is>
      </c>
      <c r="G480" t="inlineStr">
        <is>
          <t>Water</t>
        </is>
      </c>
      <c r="H480" t="inlineStr">
        <is>
          <t>Total Coliform</t>
        </is>
      </c>
      <c r="I480" t="n">
        <v>36</v>
      </c>
      <c r="J480" t="inlineStr">
        <is>
          <t>CFU/100 mL</t>
        </is>
      </c>
      <c r="K480" t="n">
        <v>0</v>
      </c>
      <c r="L480" t="n">
        <v>0</v>
      </c>
      <c r="M480" t="str">
        <f>IF(AND(I480&gt;=K480,I480&lt;=L480),"Yes","No")</f>
        <v>No</v>
      </c>
      <c r="N480" s="34">
        <f>IF(L480=0,"",I480/L480)</f>
        <v/>
      </c>
      <c r="O480" s="33" t="n">
        <v>120</v>
      </c>
      <c r="P480" t="inlineStr">
        <is>
          <t>Benson Hospital</t>
        </is>
      </c>
      <c r="Q480" t="inlineStr">
        <is>
          <t>E. Sebo</t>
        </is>
      </c>
    </row>
    <row r="481">
      <c r="A481" t="inlineStr">
        <is>
          <t>WQ-2026-00478</t>
        </is>
      </c>
      <c r="B481" s="32" t="n">
        <v>46238</v>
      </c>
      <c r="C481" s="33">
        <f>MONTH(B481)</f>
        <v>8</v>
      </c>
      <c r="D481" t="inlineStr">
        <is>
          <t>Grand Gedeh</t>
        </is>
      </c>
      <c r="E481" t="inlineStr">
        <is>
          <t>Toe Town - River / Stream Intake</t>
        </is>
      </c>
      <c r="F481" t="inlineStr">
        <is>
          <t>River / Stream Intake</t>
        </is>
      </c>
      <c r="G481" t="inlineStr">
        <is>
          <t>Water</t>
        </is>
      </c>
      <c r="H481" t="inlineStr">
        <is>
          <t>Nitrate (as NO3)</t>
        </is>
      </c>
      <c r="I481" t="n">
        <v>3.9</v>
      </c>
      <c r="J481" t="inlineStr">
        <is>
          <t>mg/L</t>
        </is>
      </c>
      <c r="K481" t="n">
        <v>0</v>
      </c>
      <c r="L481" t="n">
        <v>10</v>
      </c>
      <c r="M481" t="str">
        <f>IF(AND(I481&gt;=K481,I481&lt;=L481),"Yes","No")</f>
        <v>Yes</v>
      </c>
      <c r="N481" s="34">
        <f>IF(L481=0,"",I481/L481)</f>
        <v>0.39</v>
      </c>
      <c r="O481" s="33" t="n">
        <v>500</v>
      </c>
      <c r="P481" t="inlineStr">
        <is>
          <t>Martha Tubman Memorial Hospital</t>
        </is>
      </c>
      <c r="Q481" t="inlineStr">
        <is>
          <t>H. Zolia</t>
        </is>
      </c>
    </row>
    <row r="482">
      <c r="A482" t="inlineStr">
        <is>
          <t>WQ-2026-00479</t>
        </is>
      </c>
      <c r="B482" s="32" t="n">
        <v>46252</v>
      </c>
      <c r="C482" s="33">
        <f>MONTH(B482)</f>
        <v>8</v>
      </c>
      <c r="D482" t="inlineStr">
        <is>
          <t>Grand Bassa</t>
        </is>
      </c>
      <c r="E482" t="inlineStr">
        <is>
          <t>St. John River - School Water Point</t>
        </is>
      </c>
      <c r="F482" t="inlineStr">
        <is>
          <t>School Water Point</t>
        </is>
      </c>
      <c r="G482" t="inlineStr">
        <is>
          <t>Water</t>
        </is>
      </c>
      <c r="H482" t="inlineStr">
        <is>
          <t>E. coli</t>
        </is>
      </c>
      <c r="I482" t="n">
        <v>0</v>
      </c>
      <c r="J482" t="inlineStr">
        <is>
          <t>CFU/100 mL</t>
        </is>
      </c>
      <c r="K482" t="n">
        <v>0</v>
      </c>
      <c r="L482" t="n">
        <v>0</v>
      </c>
      <c r="M482" t="str">
        <f>IF(AND(I482&gt;=K482,I482&lt;=L482),"Yes","No")</f>
        <v>Yes</v>
      </c>
      <c r="N482" s="34">
        <f>IF(L482=0,"",I482/L482)</f>
        <v/>
      </c>
      <c r="O482" s="33" t="n">
        <v>500</v>
      </c>
      <c r="P482" t="inlineStr">
        <is>
          <t>Buchanan Government Hospital</t>
        </is>
      </c>
      <c r="Q482" t="inlineStr">
        <is>
          <t>H. Zolia</t>
        </is>
      </c>
    </row>
    <row r="483">
      <c r="A483" t="inlineStr">
        <is>
          <t>RD-2026-00480</t>
        </is>
      </c>
      <c r="B483" s="32" t="n">
        <v>46264</v>
      </c>
      <c r="C483" s="33">
        <f>MONTH(B483)</f>
        <v>8</v>
      </c>
      <c r="D483" t="inlineStr">
        <is>
          <t>Montserrado</t>
        </is>
      </c>
      <c r="E483" t="inlineStr">
        <is>
          <t>Paynesville - Dumpsite Perimeter</t>
        </is>
      </c>
      <c r="F483" t="inlineStr">
        <is>
          <t>Dumpsite Perimeter</t>
        </is>
      </c>
      <c r="G483" t="inlineStr">
        <is>
          <t>Ambient Radiation</t>
        </is>
      </c>
      <c r="H483" t="inlineStr">
        <is>
          <t>Gamma Dose Rate</t>
        </is>
      </c>
      <c r="I483" t="n">
        <v>0.28</v>
      </c>
      <c r="J483" t="inlineStr">
        <is>
          <t>uSv/h</t>
        </is>
      </c>
      <c r="K483" t="n">
        <v>0</v>
      </c>
      <c r="L483" t="n">
        <v>0.3</v>
      </c>
      <c r="M483" t="str">
        <f>IF(AND(I483&gt;=K483,I483&lt;=L483),"Yes","No")</f>
        <v>Yes</v>
      </c>
      <c r="N483" s="34">
        <f>IF(L483=0,"",I483/L483)</f>
        <v>0.9333333333</v>
      </c>
      <c r="O483" s="33" t="n">
        <v>0</v>
      </c>
      <c r="P483" t="inlineStr">
        <is>
          <t>JFK Memorial Hospital</t>
        </is>
      </c>
      <c r="Q483" t="inlineStr">
        <is>
          <t>B. Kpadeh</t>
        </is>
      </c>
    </row>
    <row r="484">
      <c r="A484" t="inlineStr">
        <is>
          <t>WQ-2026-00481</t>
        </is>
      </c>
      <c r="B484" s="32" t="n">
        <v>46237</v>
      </c>
      <c r="C484" s="33">
        <f>MONTH(B484)</f>
        <v>8</v>
      </c>
      <c r="D484" t="inlineStr">
        <is>
          <t>Nimba</t>
        </is>
      </c>
      <c r="E484" t="inlineStr">
        <is>
          <t>Saclepea - Health Facility Supply</t>
        </is>
      </c>
      <c r="F484" t="inlineStr">
        <is>
          <t>Health Facility Supply</t>
        </is>
      </c>
      <c r="G484" t="inlineStr">
        <is>
          <t>Water</t>
        </is>
      </c>
      <c r="H484" t="inlineStr">
        <is>
          <t>Total Coliform</t>
        </is>
      </c>
      <c r="I484" t="n">
        <v>33</v>
      </c>
      <c r="J484" t="inlineStr">
        <is>
          <t>CFU/100 mL</t>
        </is>
      </c>
      <c r="K484" t="n">
        <v>0</v>
      </c>
      <c r="L484" t="n">
        <v>0</v>
      </c>
      <c r="M484" t="str">
        <f>IF(AND(I484&gt;=K484,I484&lt;=L484),"Yes","No")</f>
        <v>No</v>
      </c>
      <c r="N484" s="34">
        <f>IF(L484=0,"",I484/L484)</f>
        <v/>
      </c>
      <c r="O484" s="33" t="n">
        <v>350</v>
      </c>
      <c r="P484" t="inlineStr">
        <is>
          <t>Ganta United Methodist Hospital</t>
        </is>
      </c>
      <c r="Q484" t="inlineStr">
        <is>
          <t>T. Mulbah</t>
        </is>
      </c>
    </row>
    <row r="485">
      <c r="A485" t="inlineStr">
        <is>
          <t>SL-2026-00482</t>
        </is>
      </c>
      <c r="B485" s="32" t="n">
        <v>46239</v>
      </c>
      <c r="C485" s="33">
        <f>MONTH(B485)</f>
        <v>8</v>
      </c>
      <c r="D485" t="inlineStr">
        <is>
          <t>Lofa</t>
        </is>
      </c>
      <c r="E485" t="inlineStr">
        <is>
          <t>Foya - Dumpsite Perimeter</t>
        </is>
      </c>
      <c r="F485" t="inlineStr">
        <is>
          <t>Dumpsite Perimeter</t>
        </is>
      </c>
      <c r="G485" t="inlineStr">
        <is>
          <t>Soil</t>
        </is>
      </c>
      <c r="H485" t="inlineStr">
        <is>
          <t>Cadmium</t>
        </is>
      </c>
      <c r="I485" t="n">
        <v>0.4</v>
      </c>
      <c r="J485" t="inlineStr">
        <is>
          <t>mg/kg</t>
        </is>
      </c>
      <c r="K485" t="n">
        <v>0</v>
      </c>
      <c r="L485" t="n">
        <v>3</v>
      </c>
      <c r="M485" t="str">
        <f>IF(AND(I485&gt;=K485,I485&lt;=L485),"Yes","No")</f>
        <v>Yes</v>
      </c>
      <c r="N485" s="34">
        <f>IF(L485=0,"",I485/L485)</f>
        <v>0.1333333333</v>
      </c>
      <c r="O485" s="33" t="n">
        <v>0</v>
      </c>
      <c r="P485" t="inlineStr">
        <is>
          <t>Curran Lutheran Hospital</t>
        </is>
      </c>
      <c r="Q485" t="inlineStr">
        <is>
          <t>B. Kpadeh</t>
        </is>
      </c>
    </row>
    <row r="486">
      <c r="A486" t="inlineStr">
        <is>
          <t>WQ-2026-00483</t>
        </is>
      </c>
      <c r="B486" s="32" t="n">
        <v>46256</v>
      </c>
      <c r="C486" s="33">
        <f>MONTH(B486)</f>
        <v>8</v>
      </c>
      <c r="D486" t="inlineStr">
        <is>
          <t>Gbarpolu</t>
        </is>
      </c>
      <c r="E486" t="inlineStr">
        <is>
          <t>Kongba - Community Borehole</t>
        </is>
      </c>
      <c r="F486" t="inlineStr">
        <is>
          <t>Community Borehole</t>
        </is>
      </c>
      <c r="G486" t="inlineStr">
        <is>
          <t>Water</t>
        </is>
      </c>
      <c r="H486" t="inlineStr">
        <is>
          <t>E. coli</t>
        </is>
      </c>
      <c r="I486" t="n">
        <v>0</v>
      </c>
      <c r="J486" t="inlineStr">
        <is>
          <t>CFU/100 mL</t>
        </is>
      </c>
      <c r="K486" t="n">
        <v>0</v>
      </c>
      <c r="L486" t="n">
        <v>0</v>
      </c>
      <c r="M486" t="str">
        <f>IF(AND(I486&gt;=K486,I486&lt;=L486),"Yes","No")</f>
        <v>Yes</v>
      </c>
      <c r="N486" s="34">
        <f>IF(L486=0,"",I486/L486)</f>
        <v/>
      </c>
      <c r="O486" s="33" t="n">
        <v>350</v>
      </c>
      <c r="P486" t="inlineStr">
        <is>
          <t>Bopolu Health Center</t>
        </is>
      </c>
      <c r="Q486" t="inlineStr">
        <is>
          <t>T. Mulbah</t>
        </is>
      </c>
    </row>
    <row r="487">
      <c r="A487" t="inlineStr">
        <is>
          <t>WQ-2026-00484</t>
        </is>
      </c>
      <c r="B487" s="32" t="n">
        <v>46239</v>
      </c>
      <c r="C487" s="33">
        <f>MONTH(B487)</f>
        <v>8</v>
      </c>
      <c r="D487" t="inlineStr">
        <is>
          <t>Sinoe</t>
        </is>
      </c>
      <c r="E487" t="inlineStr">
        <is>
          <t>Greenville - Health Facility Supply</t>
        </is>
      </c>
      <c r="F487" t="inlineStr">
        <is>
          <t>Health Facility Supply</t>
        </is>
      </c>
      <c r="G487" t="inlineStr">
        <is>
          <t>Water</t>
        </is>
      </c>
      <c r="H487" t="inlineStr">
        <is>
          <t>Arsenic</t>
        </is>
      </c>
      <c r="I487" t="n">
        <v>0.001</v>
      </c>
      <c r="J487" t="inlineStr">
        <is>
          <t>mg/L</t>
        </is>
      </c>
      <c r="K487" t="n">
        <v>0</v>
      </c>
      <c r="L487" t="n">
        <v>0.01</v>
      </c>
      <c r="M487" t="str">
        <f>IF(AND(I487&gt;=K487,I487&lt;=L487),"Yes","No")</f>
        <v>Yes</v>
      </c>
      <c r="N487" s="34">
        <f>IF(L487=0,"",I487/L487)</f>
        <v>0.1</v>
      </c>
      <c r="O487" s="33" t="n">
        <v>2500</v>
      </c>
      <c r="P487" t="inlineStr">
        <is>
          <t>F.J. Grante Hospital</t>
        </is>
      </c>
      <c r="Q487" t="inlineStr">
        <is>
          <t>S. Dolo</t>
        </is>
      </c>
    </row>
    <row r="488">
      <c r="A488" t="inlineStr">
        <is>
          <t>SL-2026-00485</t>
        </is>
      </c>
      <c r="B488" s="32" t="n">
        <v>46235</v>
      </c>
      <c r="C488" s="33">
        <f>MONTH(B488)</f>
        <v>8</v>
      </c>
      <c r="D488" t="inlineStr">
        <is>
          <t>Nimba</t>
        </is>
      </c>
      <c r="E488" t="inlineStr">
        <is>
          <t>Ganta - Industrial Site</t>
        </is>
      </c>
      <c r="F488" t="inlineStr">
        <is>
          <t>Industrial Site</t>
        </is>
      </c>
      <c r="G488" t="inlineStr">
        <is>
          <t>Soil</t>
        </is>
      </c>
      <c r="H488" t="inlineStr">
        <is>
          <t>Mercury</t>
        </is>
      </c>
      <c r="I488" t="n">
        <v>0.7</v>
      </c>
      <c r="J488" t="inlineStr">
        <is>
          <t>mg/kg</t>
        </is>
      </c>
      <c r="K488" t="n">
        <v>0</v>
      </c>
      <c r="L488" t="n">
        <v>1</v>
      </c>
      <c r="M488" t="str">
        <f>IF(AND(I488&gt;=K488,I488&lt;=L488),"Yes","No")</f>
        <v>Yes</v>
      </c>
      <c r="N488" s="34">
        <f>IF(L488=0,"",I488/L488)</f>
        <v>0.7</v>
      </c>
      <c r="O488" s="33" t="n">
        <v>3500</v>
      </c>
      <c r="P488" t="inlineStr">
        <is>
          <t>Tappita Referral Hospital</t>
        </is>
      </c>
      <c r="Q488" t="inlineStr">
        <is>
          <t>J. Nyeman</t>
        </is>
      </c>
    </row>
    <row r="489">
      <c r="A489" t="inlineStr">
        <is>
          <t>WQ-2026-00486</t>
        </is>
      </c>
      <c r="B489" s="32" t="n">
        <v>46263</v>
      </c>
      <c r="C489" s="33">
        <f>MONTH(B489)</f>
        <v>8</v>
      </c>
      <c r="D489" t="inlineStr">
        <is>
          <t>Montserrado</t>
        </is>
      </c>
      <c r="E489" t="inlineStr">
        <is>
          <t>Sinkor - River / Stream Intake</t>
        </is>
      </c>
      <c r="F489" t="inlineStr">
        <is>
          <t>River / Stream Intake</t>
        </is>
      </c>
      <c r="G489" t="inlineStr">
        <is>
          <t>Water</t>
        </is>
      </c>
      <c r="H489" t="inlineStr">
        <is>
          <t>E. coli</t>
        </is>
      </c>
      <c r="I489" t="n">
        <v>0</v>
      </c>
      <c r="J489" t="inlineStr">
        <is>
          <t>CFU/100 mL</t>
        </is>
      </c>
      <c r="K489" t="n">
        <v>0</v>
      </c>
      <c r="L489" t="n">
        <v>0</v>
      </c>
      <c r="M489" t="str">
        <f>IF(AND(I489&gt;=K489,I489&lt;=L489),"Yes","No")</f>
        <v>Yes</v>
      </c>
      <c r="N489" s="34">
        <f>IF(L489=0,"",I489/L489)</f>
        <v/>
      </c>
      <c r="O489" s="33" t="n">
        <v>500</v>
      </c>
      <c r="P489" t="inlineStr">
        <is>
          <t>JFK Memorial Hospital</t>
        </is>
      </c>
      <c r="Q489" t="inlineStr">
        <is>
          <t>T. Mulbah</t>
        </is>
      </c>
    </row>
    <row r="490">
      <c r="A490" t="inlineStr">
        <is>
          <t>WQ-2026-00487</t>
        </is>
      </c>
      <c r="B490" s="32" t="n">
        <v>46263</v>
      </c>
      <c r="C490" s="33">
        <f>MONTH(B490)</f>
        <v>8</v>
      </c>
      <c r="D490" t="inlineStr">
        <is>
          <t>Nimba</t>
        </is>
      </c>
      <c r="E490" t="inlineStr">
        <is>
          <t>Yekepa - Health Facility Supply</t>
        </is>
      </c>
      <c r="F490" t="inlineStr">
        <is>
          <t>Health Facility Supply</t>
        </is>
      </c>
      <c r="G490" t="inlineStr">
        <is>
          <t>Water</t>
        </is>
      </c>
      <c r="H490" t="inlineStr">
        <is>
          <t>E. coli</t>
        </is>
      </c>
      <c r="I490" t="n">
        <v>0</v>
      </c>
      <c r="J490" t="inlineStr">
        <is>
          <t>CFU/100 mL</t>
        </is>
      </c>
      <c r="K490" t="n">
        <v>0</v>
      </c>
      <c r="L490" t="n">
        <v>0</v>
      </c>
      <c r="M490" t="str">
        <f>IF(AND(I490&gt;=K490,I490&lt;=L490),"Yes","No")</f>
        <v>Yes</v>
      </c>
      <c r="N490" s="34">
        <f>IF(L490=0,"",I490/L490)</f>
        <v/>
      </c>
      <c r="O490" s="33" t="n">
        <v>240</v>
      </c>
      <c r="P490" t="inlineStr">
        <is>
          <t>Saclepea Health Center</t>
        </is>
      </c>
      <c r="Q490" t="inlineStr">
        <is>
          <t>H. Zolia</t>
        </is>
      </c>
    </row>
    <row r="491">
      <c r="A491" t="inlineStr">
        <is>
          <t>RD-2026-00488</t>
        </is>
      </c>
      <c r="B491" s="32" t="n">
        <v>46248</v>
      </c>
      <c r="C491" s="33">
        <f>MONTH(B491)</f>
        <v>8</v>
      </c>
      <c r="D491" t="inlineStr">
        <is>
          <t>Montserrado</t>
        </is>
      </c>
      <c r="E491" t="inlineStr">
        <is>
          <t>Sinkor - Industrial Site</t>
        </is>
      </c>
      <c r="F491" t="inlineStr">
        <is>
          <t>Industrial Site</t>
        </is>
      </c>
      <c r="G491" t="inlineStr">
        <is>
          <t>Ambient Radiation</t>
        </is>
      </c>
      <c r="H491" t="inlineStr">
        <is>
          <t>Gamma Dose Rate</t>
        </is>
      </c>
      <c r="I491" t="n">
        <v>0.22</v>
      </c>
      <c r="J491" t="inlineStr">
        <is>
          <t>uSv/h</t>
        </is>
      </c>
      <c r="K491" t="n">
        <v>0</v>
      </c>
      <c r="L491" t="n">
        <v>0.3</v>
      </c>
      <c r="M491" t="str">
        <f>IF(AND(I491&gt;=K491,I491&lt;=L491),"Yes","No")</f>
        <v>Yes</v>
      </c>
      <c r="N491" s="34">
        <f>IF(L491=0,"",I491/L491)</f>
        <v>0.7333333333</v>
      </c>
      <c r="O491" s="33" t="n">
        <v>0</v>
      </c>
      <c r="P491" t="inlineStr">
        <is>
          <t>Benson Hospital</t>
        </is>
      </c>
      <c r="Q491" t="inlineStr">
        <is>
          <t>M. Toe</t>
        </is>
      </c>
    </row>
    <row r="492">
      <c r="A492" t="inlineStr">
        <is>
          <t>AQ-2026-00489</t>
        </is>
      </c>
      <c r="B492" s="32" t="n">
        <v>46249</v>
      </c>
      <c r="C492" s="33">
        <f>MONTH(B492)</f>
        <v>8</v>
      </c>
      <c r="D492" t="inlineStr">
        <is>
          <t>Montserrado</t>
        </is>
      </c>
      <c r="E492" t="inlineStr">
        <is>
          <t>Firestone Rubber Plantation</t>
        </is>
      </c>
      <c r="F492" t="inlineStr">
        <is>
          <t>Industrial Perimeter</t>
        </is>
      </c>
      <c r="G492" t="inlineStr">
        <is>
          <t>Air</t>
        </is>
      </c>
      <c r="H492" t="inlineStr">
        <is>
          <t>Nitrogen Dioxide (NO2)</t>
        </is>
      </c>
      <c r="I492" t="n">
        <v>70.09999999999999</v>
      </c>
      <c r="J492" t="inlineStr">
        <is>
          <t>ug/m3</t>
        </is>
      </c>
      <c r="K492" t="n">
        <v>0</v>
      </c>
      <c r="L492" t="n">
        <v>40</v>
      </c>
      <c r="M492" t="str">
        <f>IF(AND(I492&gt;=K492,I492&lt;=L492),"Yes","No")</f>
        <v>No</v>
      </c>
      <c r="N492" s="34">
        <f>IF(L492=0,"",I492/L492)</f>
        <v>1.7525</v>
      </c>
      <c r="O492" s="33" t="n">
        <v>1500</v>
      </c>
      <c r="P492" t="inlineStr">
        <is>
          <t>Benson Hospital</t>
        </is>
      </c>
      <c r="Q492" t="inlineStr">
        <is>
          <t>J. Nyeman</t>
        </is>
      </c>
    </row>
    <row r="493">
      <c r="A493" t="inlineStr">
        <is>
          <t>WQ-2026-00490</t>
        </is>
      </c>
      <c r="B493" s="32" t="n">
        <v>46248</v>
      </c>
      <c r="C493" s="33">
        <f>MONTH(B493)</f>
        <v>8</v>
      </c>
      <c r="D493" t="inlineStr">
        <is>
          <t>Bong</t>
        </is>
      </c>
      <c r="E493" t="inlineStr">
        <is>
          <t>Palala - Public Tap Stand</t>
        </is>
      </c>
      <c r="F493" t="inlineStr">
        <is>
          <t>Public Tap Stand</t>
        </is>
      </c>
      <c r="G493" t="inlineStr">
        <is>
          <t>Water</t>
        </is>
      </c>
      <c r="H493" t="inlineStr">
        <is>
          <t>E. coli</t>
        </is>
      </c>
      <c r="I493" t="n">
        <v>0</v>
      </c>
      <c r="J493" t="inlineStr">
        <is>
          <t>CFU/100 mL</t>
        </is>
      </c>
      <c r="K493" t="n">
        <v>0</v>
      </c>
      <c r="L493" t="n">
        <v>0</v>
      </c>
      <c r="M493" t="str">
        <f>IF(AND(I493&gt;=K493,I493&lt;=L493),"Yes","No")</f>
        <v>Yes</v>
      </c>
      <c r="N493" s="34">
        <f>IF(L493=0,"",I493/L493)</f>
        <v/>
      </c>
      <c r="O493" s="33" t="n">
        <v>2500</v>
      </c>
      <c r="P493" t="inlineStr">
        <is>
          <t>Gbarnga Health Center</t>
        </is>
      </c>
      <c r="Q493" t="inlineStr">
        <is>
          <t>H. Zolia</t>
        </is>
      </c>
    </row>
    <row r="494">
      <c r="A494" t="inlineStr">
        <is>
          <t>WQ-2026-00491</t>
        </is>
      </c>
      <c r="B494" s="32" t="n">
        <v>46236</v>
      </c>
      <c r="C494" s="33">
        <f>MONTH(B494)</f>
        <v>8</v>
      </c>
      <c r="D494" t="inlineStr">
        <is>
          <t>Sinoe</t>
        </is>
      </c>
      <c r="E494" t="inlineStr">
        <is>
          <t>Greenville - Hand-Dug Well</t>
        </is>
      </c>
      <c r="F494" t="inlineStr">
        <is>
          <t>Hand-Dug Well</t>
        </is>
      </c>
      <c r="G494" t="inlineStr">
        <is>
          <t>Water</t>
        </is>
      </c>
      <c r="H494" t="inlineStr">
        <is>
          <t>Turbidity</t>
        </is>
      </c>
      <c r="I494" t="n">
        <v>3.1</v>
      </c>
      <c r="J494" t="inlineStr">
        <is>
          <t>NTU</t>
        </is>
      </c>
      <c r="K494" t="n">
        <v>0</v>
      </c>
      <c r="L494" t="n">
        <v>5</v>
      </c>
      <c r="M494" t="str">
        <f>IF(AND(I494&gt;=K494,I494&lt;=L494),"Yes","No")</f>
        <v>Yes</v>
      </c>
      <c r="N494" s="34">
        <f>IF(L494=0,"",I494/L494)</f>
        <v>0.62</v>
      </c>
      <c r="O494" s="33" t="n">
        <v>1800</v>
      </c>
      <c r="P494" t="inlineStr">
        <is>
          <t>Greenville Health Center</t>
        </is>
      </c>
      <c r="Q494" t="inlineStr">
        <is>
          <t>J. Nyeman</t>
        </is>
      </c>
    </row>
    <row r="495">
      <c r="A495" t="inlineStr">
        <is>
          <t>WQ-2026-00492</t>
        </is>
      </c>
      <c r="B495" s="32" t="n">
        <v>46253</v>
      </c>
      <c r="C495" s="33">
        <f>MONTH(B495)</f>
        <v>8</v>
      </c>
      <c r="D495" t="inlineStr">
        <is>
          <t>Margibi</t>
        </is>
      </c>
      <c r="E495" t="inlineStr">
        <is>
          <t>Dolo Town - Hand-Dug Well</t>
        </is>
      </c>
      <c r="F495" t="inlineStr">
        <is>
          <t>Hand-Dug Well</t>
        </is>
      </c>
      <c r="G495" t="inlineStr">
        <is>
          <t>Water</t>
        </is>
      </c>
      <c r="H495" t="inlineStr">
        <is>
          <t>Lead</t>
        </is>
      </c>
      <c r="I495" t="n">
        <v>0.0011</v>
      </c>
      <c r="J495" t="inlineStr">
        <is>
          <t>mg/L</t>
        </is>
      </c>
      <c r="K495" t="n">
        <v>0</v>
      </c>
      <c r="L495" t="n">
        <v>0.01</v>
      </c>
      <c r="M495" t="str">
        <f>IF(AND(I495&gt;=K495,I495&lt;=L495),"Yes","No")</f>
        <v>Yes</v>
      </c>
      <c r="N495" s="34">
        <f>IF(L495=0,"",I495/L495)</f>
        <v>0.11</v>
      </c>
      <c r="O495" s="33" t="n">
        <v>1200</v>
      </c>
      <c r="P495" t="inlineStr">
        <is>
          <t>Harbel Health Center</t>
        </is>
      </c>
      <c r="Q495" t="inlineStr">
        <is>
          <t>P. Wleh</t>
        </is>
      </c>
    </row>
    <row r="496">
      <c r="A496" t="inlineStr">
        <is>
          <t>AQ-2026-00493</t>
        </is>
      </c>
      <c r="B496" s="32" t="n">
        <v>46237</v>
      </c>
      <c r="C496" s="33">
        <f>MONTH(B496)</f>
        <v>8</v>
      </c>
      <c r="D496" t="inlineStr">
        <is>
          <t>Lofa</t>
        </is>
      </c>
      <c r="E496" t="inlineStr">
        <is>
          <t>Voinjama - Market Area</t>
        </is>
      </c>
      <c r="F496" t="inlineStr">
        <is>
          <t>Market Area</t>
        </is>
      </c>
      <c r="G496" t="inlineStr">
        <is>
          <t>Air</t>
        </is>
      </c>
      <c r="H496" t="inlineStr">
        <is>
          <t>Sulphur Dioxide (SO2)</t>
        </is>
      </c>
      <c r="I496" t="n">
        <v>82</v>
      </c>
      <c r="J496" t="inlineStr">
        <is>
          <t>ug/m3</t>
        </is>
      </c>
      <c r="K496" t="n">
        <v>0</v>
      </c>
      <c r="L496" t="n">
        <v>125</v>
      </c>
      <c r="M496" t="str">
        <f>IF(AND(I496&gt;=K496,I496&lt;=L496),"Yes","No")</f>
        <v>Yes</v>
      </c>
      <c r="N496" s="34">
        <f>IF(L496=0,"",I496/L496)</f>
        <v>0.656</v>
      </c>
      <c r="O496" s="33" t="n">
        <v>800</v>
      </c>
      <c r="P496" t="inlineStr">
        <is>
          <t>Zorzor Hospital</t>
        </is>
      </c>
      <c r="Q496" t="inlineStr">
        <is>
          <t>T. Mulbah</t>
        </is>
      </c>
    </row>
    <row r="497">
      <c r="A497" t="inlineStr">
        <is>
          <t>WQ-2026-00494</t>
        </is>
      </c>
      <c r="B497" s="32" t="n">
        <v>46241</v>
      </c>
      <c r="C497" s="33">
        <f>MONTH(B497)</f>
        <v>8</v>
      </c>
      <c r="D497" t="inlineStr">
        <is>
          <t>Margibi</t>
        </is>
      </c>
      <c r="E497" t="inlineStr">
        <is>
          <t>Dolo Town - School Water Point</t>
        </is>
      </c>
      <c r="F497" t="inlineStr">
        <is>
          <t>School Water Point</t>
        </is>
      </c>
      <c r="G497" t="inlineStr">
        <is>
          <t>Water</t>
        </is>
      </c>
      <c r="H497" t="inlineStr">
        <is>
          <t>Arsenic</t>
        </is>
      </c>
      <c r="I497" t="n">
        <v>0.0067</v>
      </c>
      <c r="J497" t="inlineStr">
        <is>
          <t>mg/L</t>
        </is>
      </c>
      <c r="K497" t="n">
        <v>0</v>
      </c>
      <c r="L497" t="n">
        <v>0.01</v>
      </c>
      <c r="M497" t="str">
        <f>IF(AND(I497&gt;=K497,I497&lt;=L497),"Yes","No")</f>
        <v>Yes</v>
      </c>
      <c r="N497" s="34">
        <f>IF(L497=0,"",I497/L497)</f>
        <v>0.67</v>
      </c>
      <c r="O497" s="33" t="n">
        <v>4200</v>
      </c>
      <c r="P497" t="inlineStr">
        <is>
          <t>C.H. Rennie Hospital</t>
        </is>
      </c>
      <c r="Q497" t="inlineStr">
        <is>
          <t>T. Mulbah</t>
        </is>
      </c>
    </row>
    <row r="498">
      <c r="A498" t="inlineStr">
        <is>
          <t>RD-2026-00495</t>
        </is>
      </c>
      <c r="B498" s="32" t="n">
        <v>46242</v>
      </c>
      <c r="C498" s="33">
        <f>MONTH(B498)</f>
        <v>8</v>
      </c>
      <c r="D498" t="inlineStr">
        <is>
          <t>Montserrado</t>
        </is>
      </c>
      <c r="E498" t="inlineStr">
        <is>
          <t>Gardnersville - Industrial Site</t>
        </is>
      </c>
      <c r="F498" t="inlineStr">
        <is>
          <t>Industrial Site</t>
        </is>
      </c>
      <c r="G498" t="inlineStr">
        <is>
          <t>Ambient Radiation</t>
        </is>
      </c>
      <c r="H498" t="inlineStr">
        <is>
          <t>Gamma Dose Rate</t>
        </is>
      </c>
      <c r="I498" t="n">
        <v>0.03</v>
      </c>
      <c r="J498" t="inlineStr">
        <is>
          <t>uSv/h</t>
        </is>
      </c>
      <c r="K498" t="n">
        <v>0</v>
      </c>
      <c r="L498" t="n">
        <v>0.3</v>
      </c>
      <c r="M498" t="str">
        <f>IF(AND(I498&gt;=K498,I498&lt;=L498),"Yes","No")</f>
        <v>Yes</v>
      </c>
      <c r="N498" s="34">
        <f>IF(L498=0,"",I498/L498)</f>
        <v>0.1</v>
      </c>
      <c r="O498" s="33" t="n">
        <v>0</v>
      </c>
      <c r="P498" t="inlineStr">
        <is>
          <t>St. Joseph's Catholic Hospital</t>
        </is>
      </c>
      <c r="Q498" t="inlineStr">
        <is>
          <t>M. Toe</t>
        </is>
      </c>
    </row>
    <row r="499">
      <c r="A499" t="inlineStr">
        <is>
          <t>WQ-2026-00496</t>
        </is>
      </c>
      <c r="B499" s="32" t="n">
        <v>46245</v>
      </c>
      <c r="C499" s="33">
        <f>MONTH(B499)</f>
        <v>8</v>
      </c>
      <c r="D499" t="inlineStr">
        <is>
          <t>Nimba</t>
        </is>
      </c>
      <c r="E499" t="inlineStr">
        <is>
          <t>Karnplay - School Water Point</t>
        </is>
      </c>
      <c r="F499" t="inlineStr">
        <is>
          <t>School Water Point</t>
        </is>
      </c>
      <c r="G499" t="inlineStr">
        <is>
          <t>Water</t>
        </is>
      </c>
      <c r="H499" t="inlineStr">
        <is>
          <t>Manganese</t>
        </is>
      </c>
      <c r="I499" t="n">
        <v>0.31</v>
      </c>
      <c r="J499" t="inlineStr">
        <is>
          <t>mg/L</t>
        </is>
      </c>
      <c r="K499" t="n">
        <v>0</v>
      </c>
      <c r="L499" t="n">
        <v>0.4</v>
      </c>
      <c r="M499" t="str">
        <f>IF(AND(I499&gt;=K499,I499&lt;=L499),"Yes","No")</f>
        <v>Yes</v>
      </c>
      <c r="N499" s="34">
        <f>IF(L499=0,"",I499/L499)</f>
        <v>0.775</v>
      </c>
      <c r="O499" s="33" t="n">
        <v>900</v>
      </c>
      <c r="P499" t="inlineStr">
        <is>
          <t>Tappita Referral Hospital</t>
        </is>
      </c>
      <c r="Q499" t="inlineStr">
        <is>
          <t>B. Kpadeh</t>
        </is>
      </c>
    </row>
    <row r="500">
      <c r="A500" t="inlineStr">
        <is>
          <t>WQ-2026-00497</t>
        </is>
      </c>
      <c r="B500" s="32" t="n">
        <v>46243</v>
      </c>
      <c r="C500" s="33">
        <f>MONTH(B500)</f>
        <v>8</v>
      </c>
      <c r="D500" t="inlineStr">
        <is>
          <t>Montserrado</t>
        </is>
      </c>
      <c r="E500" t="inlineStr">
        <is>
          <t>Johnsonville - School Water Point</t>
        </is>
      </c>
      <c r="F500" t="inlineStr">
        <is>
          <t>School Water Point</t>
        </is>
      </c>
      <c r="G500" t="inlineStr">
        <is>
          <t>Water</t>
        </is>
      </c>
      <c r="H500" t="inlineStr">
        <is>
          <t>Lead</t>
        </is>
      </c>
      <c r="I500" t="n">
        <v>0.0134</v>
      </c>
      <c r="J500" t="inlineStr">
        <is>
          <t>mg/L</t>
        </is>
      </c>
      <c r="K500" t="n">
        <v>0</v>
      </c>
      <c r="L500" t="n">
        <v>0.01</v>
      </c>
      <c r="M500" t="str">
        <f>IF(AND(I500&gt;=K500,I500&lt;=L500),"Yes","No")</f>
        <v>No</v>
      </c>
      <c r="N500" s="34">
        <f>IF(L500=0,"",I500/L500)</f>
        <v>1.34</v>
      </c>
      <c r="O500" s="33" t="n">
        <v>2500</v>
      </c>
      <c r="P500" t="inlineStr">
        <is>
          <t>Redemption Hospital</t>
        </is>
      </c>
      <c r="Q500" t="inlineStr">
        <is>
          <t>M. Toe</t>
        </is>
      </c>
    </row>
    <row r="501">
      <c r="A501" t="inlineStr">
        <is>
          <t>SL-2026-00498</t>
        </is>
      </c>
      <c r="B501" s="32" t="n">
        <v>46236</v>
      </c>
      <c r="C501" s="33">
        <f>MONTH(B501)</f>
        <v>8</v>
      </c>
      <c r="D501" t="inlineStr">
        <is>
          <t>Nimba</t>
        </is>
      </c>
      <c r="E501" t="inlineStr">
        <is>
          <t>Liberia Petroleum Refinery</t>
        </is>
      </c>
      <c r="F501" t="inlineStr">
        <is>
          <t>Industrial Perimeter</t>
        </is>
      </c>
      <c r="G501" t="inlineStr">
        <is>
          <t>Soil</t>
        </is>
      </c>
      <c r="H501" t="inlineStr">
        <is>
          <t>Mercury</t>
        </is>
      </c>
      <c r="I501" t="n">
        <v>0</v>
      </c>
      <c r="J501" t="inlineStr">
        <is>
          <t>mg/kg</t>
        </is>
      </c>
      <c r="K501" t="n">
        <v>0</v>
      </c>
      <c r="L501" t="n">
        <v>1</v>
      </c>
      <c r="M501" t="str">
        <f>IF(AND(I501&gt;=K501,I501&lt;=L501),"Yes","No")</f>
        <v>Yes</v>
      </c>
      <c r="N501" s="34">
        <f>IF(L501=0,"",I501/L501)</f>
        <v>0</v>
      </c>
      <c r="O501" s="33" t="n">
        <v>0</v>
      </c>
      <c r="P501" t="inlineStr">
        <is>
          <t>Ganta United Methodist Hospital</t>
        </is>
      </c>
      <c r="Q501" t="inlineStr">
        <is>
          <t>A. Kollie</t>
        </is>
      </c>
    </row>
    <row r="502">
      <c r="A502" t="inlineStr">
        <is>
          <t>WQ-2026-00499</t>
        </is>
      </c>
      <c r="B502" s="32" t="n">
        <v>46263</v>
      </c>
      <c r="C502" s="33">
        <f>MONTH(B502)</f>
        <v>8</v>
      </c>
      <c r="D502" t="inlineStr">
        <is>
          <t>Nimba</t>
        </is>
      </c>
      <c r="E502" t="inlineStr">
        <is>
          <t>Tappita - River / Stream Intake</t>
        </is>
      </c>
      <c r="F502" t="inlineStr">
        <is>
          <t>River / Stream Intake</t>
        </is>
      </c>
      <c r="G502" t="inlineStr">
        <is>
          <t>Water</t>
        </is>
      </c>
      <c r="H502" t="inlineStr">
        <is>
          <t>E. coli</t>
        </is>
      </c>
      <c r="I502" t="n">
        <v>0</v>
      </c>
      <c r="J502" t="inlineStr">
        <is>
          <t>CFU/100 mL</t>
        </is>
      </c>
      <c r="K502" t="n">
        <v>0</v>
      </c>
      <c r="L502" t="n">
        <v>0</v>
      </c>
      <c r="M502" t="str">
        <f>IF(AND(I502&gt;=K502,I502&lt;=L502),"Yes","No")</f>
        <v>Yes</v>
      </c>
      <c r="N502" s="34">
        <f>IF(L502=0,"",I502/L502)</f>
        <v/>
      </c>
      <c r="O502" s="33" t="n">
        <v>2500</v>
      </c>
      <c r="P502" t="inlineStr">
        <is>
          <t>Tappita Referral Hospital</t>
        </is>
      </c>
      <c r="Q502" t="inlineStr">
        <is>
          <t>B. Kpadeh</t>
        </is>
      </c>
    </row>
    <row r="503">
      <c r="A503" t="inlineStr">
        <is>
          <t>RD-2026-00500</t>
        </is>
      </c>
      <c r="B503" s="32" t="n">
        <v>46258</v>
      </c>
      <c r="C503" s="33">
        <f>MONTH(B503)</f>
        <v>8</v>
      </c>
      <c r="D503" t="inlineStr">
        <is>
          <t>Margibi</t>
        </is>
      </c>
      <c r="E503" t="inlineStr">
        <is>
          <t>Firestone - Dumpsite Perimeter</t>
        </is>
      </c>
      <c r="F503" t="inlineStr">
        <is>
          <t>Dumpsite Perimeter</t>
        </is>
      </c>
      <c r="G503" t="inlineStr">
        <is>
          <t>Ambient Radiation</t>
        </is>
      </c>
      <c r="H503" t="inlineStr">
        <is>
          <t>Gamma Dose Rate</t>
        </is>
      </c>
      <c r="I503" t="n">
        <v>0.11</v>
      </c>
      <c r="J503" t="inlineStr">
        <is>
          <t>uSv/h</t>
        </is>
      </c>
      <c r="K503" t="n">
        <v>0</v>
      </c>
      <c r="L503" t="n">
        <v>0.3</v>
      </c>
      <c r="M503" t="str">
        <f>IF(AND(I503&gt;=K503,I503&lt;=L503),"Yes","No")</f>
        <v>Yes</v>
      </c>
      <c r="N503" s="34">
        <f>IF(L503=0,"",I503/L503)</f>
        <v>0.3666666667</v>
      </c>
      <c r="O503" s="33" t="n">
        <v>0</v>
      </c>
      <c r="P503" t="inlineStr">
        <is>
          <t>C.H. Rennie Hospital</t>
        </is>
      </c>
      <c r="Q503" t="inlineStr">
        <is>
          <t>A. Kollie</t>
        </is>
      </c>
    </row>
    <row r="504">
      <c r="A504" t="inlineStr">
        <is>
          <t>WQ-2026-00501</t>
        </is>
      </c>
      <c r="B504" s="32" t="n">
        <v>46235</v>
      </c>
      <c r="C504" s="33">
        <f>MONTH(B504)</f>
        <v>8</v>
      </c>
      <c r="D504" t="inlineStr">
        <is>
          <t>Montserrado</t>
        </is>
      </c>
      <c r="E504" t="inlineStr">
        <is>
          <t>Brewerville - River / Stream Intake</t>
        </is>
      </c>
      <c r="F504" t="inlineStr">
        <is>
          <t>River / Stream Intake</t>
        </is>
      </c>
      <c r="G504" t="inlineStr">
        <is>
          <t>Water</t>
        </is>
      </c>
      <c r="H504" t="inlineStr">
        <is>
          <t>Manganese</t>
        </is>
      </c>
      <c r="I504" t="n">
        <v>0.05</v>
      </c>
      <c r="J504" t="inlineStr">
        <is>
          <t>mg/L</t>
        </is>
      </c>
      <c r="K504" t="n">
        <v>0</v>
      </c>
      <c r="L504" t="n">
        <v>0.4</v>
      </c>
      <c r="M504" t="str">
        <f>IF(AND(I504&gt;=K504,I504&lt;=L504),"Yes","No")</f>
        <v>Yes</v>
      </c>
      <c r="N504" s="34">
        <f>IF(L504=0,"",I504/L504)</f>
        <v>0.125</v>
      </c>
      <c r="O504" s="33" t="n">
        <v>350</v>
      </c>
      <c r="P504" t="inlineStr">
        <is>
          <t>Benson Hospital</t>
        </is>
      </c>
      <c r="Q504" t="inlineStr">
        <is>
          <t>B. Kpadeh</t>
        </is>
      </c>
    </row>
    <row r="505">
      <c r="A505" t="inlineStr">
        <is>
          <t>WQ-2026-00502</t>
        </is>
      </c>
      <c r="B505" s="32" t="n">
        <v>46259</v>
      </c>
      <c r="C505" s="33">
        <f>MONTH(B505)</f>
        <v>8</v>
      </c>
      <c r="D505" t="inlineStr">
        <is>
          <t>Nimba</t>
        </is>
      </c>
      <c r="E505" t="inlineStr">
        <is>
          <t>Butuo - Community Borehole</t>
        </is>
      </c>
      <c r="F505" t="inlineStr">
        <is>
          <t>Community Borehole</t>
        </is>
      </c>
      <c r="G505" t="inlineStr">
        <is>
          <t>Water</t>
        </is>
      </c>
      <c r="H505" t="inlineStr">
        <is>
          <t>E. coli</t>
        </is>
      </c>
      <c r="I505" t="n">
        <v>43</v>
      </c>
      <c r="J505" t="inlineStr">
        <is>
          <t>CFU/100 mL</t>
        </is>
      </c>
      <c r="K505" t="n">
        <v>0</v>
      </c>
      <c r="L505" t="n">
        <v>0</v>
      </c>
      <c r="M505" t="str">
        <f>IF(AND(I505&gt;=K505,I505&lt;=L505),"Yes","No")</f>
        <v>No</v>
      </c>
      <c r="N505" s="34">
        <f>IF(L505=0,"",I505/L505)</f>
        <v/>
      </c>
      <c r="O505" s="33" t="n">
        <v>900</v>
      </c>
      <c r="P505" t="inlineStr">
        <is>
          <t>Ganta United Methodist Hospital</t>
        </is>
      </c>
      <c r="Q505" t="inlineStr">
        <is>
          <t>B. Kpadeh</t>
        </is>
      </c>
    </row>
    <row r="506">
      <c r="A506" t="inlineStr">
        <is>
          <t>AQ-2026-00503</t>
        </is>
      </c>
      <c r="B506" s="32" t="n">
        <v>46257</v>
      </c>
      <c r="C506" s="33">
        <f>MONTH(B506)</f>
        <v>8</v>
      </c>
      <c r="D506" t="inlineStr">
        <is>
          <t>Montserrado</t>
        </is>
      </c>
      <c r="E506" t="inlineStr">
        <is>
          <t>West Point - Residential Area</t>
        </is>
      </c>
      <c r="F506" t="inlineStr">
        <is>
          <t>Residential Area</t>
        </is>
      </c>
      <c r="G506" t="inlineStr">
        <is>
          <t>Air</t>
        </is>
      </c>
      <c r="H506" t="inlineStr">
        <is>
          <t>PM2.5</t>
        </is>
      </c>
      <c r="I506" t="n">
        <v>19.6</v>
      </c>
      <c r="J506" t="inlineStr">
        <is>
          <t>ug/m3</t>
        </is>
      </c>
      <c r="K506" t="n">
        <v>0</v>
      </c>
      <c r="L506" t="n">
        <v>25</v>
      </c>
      <c r="M506" t="str">
        <f>IF(AND(I506&gt;=K506,I506&lt;=L506),"Yes","No")</f>
        <v>Yes</v>
      </c>
      <c r="N506" s="34">
        <f>IF(L506=0,"",I506/L506)</f>
        <v>0.784</v>
      </c>
      <c r="O506" s="33" t="n">
        <v>0</v>
      </c>
      <c r="P506" t="inlineStr">
        <is>
          <t>Benson Hospital</t>
        </is>
      </c>
      <c r="Q506" t="inlineStr">
        <is>
          <t>A. Kollie</t>
        </is>
      </c>
    </row>
    <row r="507">
      <c r="A507" t="inlineStr">
        <is>
          <t>SL-2026-00504</t>
        </is>
      </c>
      <c r="B507" s="32" t="n">
        <v>46243</v>
      </c>
      <c r="C507" s="33">
        <f>MONTH(B507)</f>
        <v>8</v>
      </c>
      <c r="D507" t="inlineStr">
        <is>
          <t>Bong</t>
        </is>
      </c>
      <c r="E507" t="inlineStr">
        <is>
          <t>Liberia Cement Corporation</t>
        </is>
      </c>
      <c r="F507" t="inlineStr">
        <is>
          <t>Industrial Perimeter</t>
        </is>
      </c>
      <c r="G507" t="inlineStr">
        <is>
          <t>Soil</t>
        </is>
      </c>
      <c r="H507" t="inlineStr">
        <is>
          <t>Arsenic</t>
        </is>
      </c>
      <c r="I507" t="n">
        <v>43.2</v>
      </c>
      <c r="J507" t="inlineStr">
        <is>
          <t>mg/kg</t>
        </is>
      </c>
      <c r="K507" t="n">
        <v>0</v>
      </c>
      <c r="L507" t="n">
        <v>20</v>
      </c>
      <c r="M507" t="str">
        <f>IF(AND(I507&gt;=K507,I507&lt;=L507),"Yes","No")</f>
        <v>No</v>
      </c>
      <c r="N507" s="34">
        <f>IF(L507=0,"",I507/L507)</f>
        <v>2.16</v>
      </c>
      <c r="O507" s="33" t="n">
        <v>800</v>
      </c>
      <c r="P507" t="inlineStr">
        <is>
          <t>Phebe Hospital</t>
        </is>
      </c>
      <c r="Q507" t="inlineStr">
        <is>
          <t>B. Kpadeh</t>
        </is>
      </c>
    </row>
    <row r="508">
      <c r="A508" t="inlineStr">
        <is>
          <t>AQ-2026-00505</t>
        </is>
      </c>
      <c r="B508" s="32" t="n">
        <v>46249</v>
      </c>
      <c r="C508" s="33">
        <f>MONTH(B508)</f>
        <v>8</v>
      </c>
      <c r="D508" t="inlineStr">
        <is>
          <t>Nimba</t>
        </is>
      </c>
      <c r="E508" t="inlineStr">
        <is>
          <t>Yekepa - Industrial Perimeter</t>
        </is>
      </c>
      <c r="F508" t="inlineStr">
        <is>
          <t>Industrial Perimeter</t>
        </is>
      </c>
      <c r="G508" t="inlineStr">
        <is>
          <t>Air</t>
        </is>
      </c>
      <c r="H508" t="inlineStr">
        <is>
          <t>PM10</t>
        </is>
      </c>
      <c r="I508" t="n">
        <v>1.8</v>
      </c>
      <c r="J508" t="inlineStr">
        <is>
          <t>ug/m3</t>
        </is>
      </c>
      <c r="K508" t="n">
        <v>0</v>
      </c>
      <c r="L508" t="n">
        <v>50</v>
      </c>
      <c r="M508" t="str">
        <f>IF(AND(I508&gt;=K508,I508&lt;=L508),"Yes","No")</f>
        <v>Yes</v>
      </c>
      <c r="N508" s="34">
        <f>IF(L508=0,"",I508/L508)</f>
        <v>0.036</v>
      </c>
      <c r="O508" s="33" t="n">
        <v>200</v>
      </c>
      <c r="P508" t="inlineStr">
        <is>
          <t>Tappita Referral Hospital</t>
        </is>
      </c>
      <c r="Q508" t="inlineStr">
        <is>
          <t>H. Zolia</t>
        </is>
      </c>
    </row>
    <row r="509">
      <c r="A509" t="inlineStr">
        <is>
          <t>WQ-2026-00506</t>
        </is>
      </c>
      <c r="B509" s="32" t="n">
        <v>46261</v>
      </c>
      <c r="C509" s="33">
        <f>MONTH(B509)</f>
        <v>8</v>
      </c>
      <c r="D509" t="inlineStr">
        <is>
          <t>Montserrado</t>
        </is>
      </c>
      <c r="E509" t="inlineStr">
        <is>
          <t>Gardnersville - School Water Point</t>
        </is>
      </c>
      <c r="F509" t="inlineStr">
        <is>
          <t>School Water Point</t>
        </is>
      </c>
      <c r="G509" t="inlineStr">
        <is>
          <t>Water</t>
        </is>
      </c>
      <c r="H509" t="inlineStr">
        <is>
          <t>Lead</t>
        </is>
      </c>
      <c r="I509" t="n">
        <v>0.0051</v>
      </c>
      <c r="J509" t="inlineStr">
        <is>
          <t>mg/L</t>
        </is>
      </c>
      <c r="K509" t="n">
        <v>0</v>
      </c>
      <c r="L509" t="n">
        <v>0.01</v>
      </c>
      <c r="M509" t="str">
        <f>IF(AND(I509&gt;=K509,I509&lt;=L509),"Yes","No")</f>
        <v>Yes</v>
      </c>
      <c r="N509" s="34">
        <f>IF(L509=0,"",I509/L509)</f>
        <v>0.51</v>
      </c>
      <c r="O509" s="33" t="n">
        <v>2500</v>
      </c>
      <c r="P509" t="inlineStr">
        <is>
          <t>JFK Memorial Hospital</t>
        </is>
      </c>
      <c r="Q509" t="inlineStr">
        <is>
          <t>A. Kollie</t>
        </is>
      </c>
    </row>
    <row r="510">
      <c r="A510" t="inlineStr">
        <is>
          <t>SL-2026-00507</t>
        </is>
      </c>
      <c r="B510" s="32" t="n">
        <v>46263</v>
      </c>
      <c r="C510" s="33">
        <f>MONTH(B510)</f>
        <v>8</v>
      </c>
      <c r="D510" t="inlineStr">
        <is>
          <t>Nimba</t>
        </is>
      </c>
      <c r="E510" t="inlineStr">
        <is>
          <t>Butuo - Playground</t>
        </is>
      </c>
      <c r="F510" t="inlineStr">
        <is>
          <t>Playground</t>
        </is>
      </c>
      <c r="G510" t="inlineStr">
        <is>
          <t>Soil</t>
        </is>
      </c>
      <c r="H510" t="inlineStr">
        <is>
          <t>Lead</t>
        </is>
      </c>
      <c r="I510" t="n">
        <v>36</v>
      </c>
      <c r="J510" t="inlineStr">
        <is>
          <t>mg/kg</t>
        </is>
      </c>
      <c r="K510" t="n">
        <v>0</v>
      </c>
      <c r="L510" t="n">
        <v>100</v>
      </c>
      <c r="M510" t="str">
        <f>IF(AND(I510&gt;=K510,I510&lt;=L510),"Yes","No")</f>
        <v>Yes</v>
      </c>
      <c r="N510" s="34">
        <f>IF(L510=0,"",I510/L510)</f>
        <v>0.36</v>
      </c>
      <c r="O510" s="33" t="n">
        <v>2200</v>
      </c>
      <c r="P510" t="inlineStr">
        <is>
          <t>Tappita Referral Hospital</t>
        </is>
      </c>
      <c r="Q510" t="inlineStr">
        <is>
          <t>M. Toe</t>
        </is>
      </c>
    </row>
    <row r="511">
      <c r="A511" t="inlineStr">
        <is>
          <t>AQ-2026-00508</t>
        </is>
      </c>
      <c r="B511" s="32" t="n">
        <v>46256</v>
      </c>
      <c r="C511" s="33">
        <f>MONTH(B511)</f>
        <v>8</v>
      </c>
      <c r="D511" t="inlineStr">
        <is>
          <t>Nimba</t>
        </is>
      </c>
      <c r="E511" t="inlineStr">
        <is>
          <t>Buchanan Port Terminal</t>
        </is>
      </c>
      <c r="F511" t="inlineStr">
        <is>
          <t>Industrial Perimeter</t>
        </is>
      </c>
      <c r="G511" t="inlineStr">
        <is>
          <t>Air</t>
        </is>
      </c>
      <c r="H511" t="inlineStr">
        <is>
          <t>PM10</t>
        </is>
      </c>
      <c r="I511" t="n">
        <v>17.7</v>
      </c>
      <c r="J511" t="inlineStr">
        <is>
          <t>ug/m3</t>
        </is>
      </c>
      <c r="K511" t="n">
        <v>0</v>
      </c>
      <c r="L511" t="n">
        <v>50</v>
      </c>
      <c r="M511" t="str">
        <f>IF(AND(I511&gt;=K511,I511&lt;=L511),"Yes","No")</f>
        <v>Yes</v>
      </c>
      <c r="N511" s="34">
        <f>IF(L511=0,"",I511/L511)</f>
        <v>0.354</v>
      </c>
      <c r="O511" s="33" t="n">
        <v>3500</v>
      </c>
      <c r="P511" t="inlineStr">
        <is>
          <t>Saclepea Health Center</t>
        </is>
      </c>
      <c r="Q511" t="inlineStr">
        <is>
          <t>A. Kollie</t>
        </is>
      </c>
    </row>
    <row r="512">
      <c r="A512" t="inlineStr">
        <is>
          <t>AQ-2026-00509</t>
        </is>
      </c>
      <c r="B512" s="32" t="n">
        <v>46242</v>
      </c>
      <c r="C512" s="33">
        <f>MONTH(B512)</f>
        <v>8</v>
      </c>
      <c r="D512" t="inlineStr">
        <is>
          <t>Nimba</t>
        </is>
      </c>
      <c r="E512" t="inlineStr">
        <is>
          <t>Liberia Cement Corporation</t>
        </is>
      </c>
      <c r="F512" t="inlineStr">
        <is>
          <t>Industrial Perimeter</t>
        </is>
      </c>
      <c r="G512" t="inlineStr">
        <is>
          <t>Air</t>
        </is>
      </c>
      <c r="H512" t="inlineStr">
        <is>
          <t>PM10</t>
        </is>
      </c>
      <c r="I512" t="n">
        <v>19.4</v>
      </c>
      <c r="J512" t="inlineStr">
        <is>
          <t>ug/m3</t>
        </is>
      </c>
      <c r="K512" t="n">
        <v>0</v>
      </c>
      <c r="L512" t="n">
        <v>50</v>
      </c>
      <c r="M512" t="str">
        <f>IF(AND(I512&gt;=K512,I512&lt;=L512),"Yes","No")</f>
        <v>Yes</v>
      </c>
      <c r="N512" s="34">
        <f>IF(L512=0,"",I512/L512)</f>
        <v>0.388</v>
      </c>
      <c r="O512" s="33" t="n">
        <v>1500</v>
      </c>
      <c r="P512" t="inlineStr">
        <is>
          <t>Ganta United Methodist Hospital</t>
        </is>
      </c>
      <c r="Q512" t="inlineStr">
        <is>
          <t>B. Kpadeh</t>
        </is>
      </c>
    </row>
    <row r="513">
      <c r="A513" t="inlineStr">
        <is>
          <t>WQ-2026-00510</t>
        </is>
      </c>
      <c r="B513" s="32" t="n">
        <v>46240</v>
      </c>
      <c r="C513" s="33">
        <f>MONTH(B513)</f>
        <v>8</v>
      </c>
      <c r="D513" t="inlineStr">
        <is>
          <t>Bong</t>
        </is>
      </c>
      <c r="E513" t="inlineStr">
        <is>
          <t>Gbarnga - Health Facility Supply</t>
        </is>
      </c>
      <c r="F513" t="inlineStr">
        <is>
          <t>Health Facility Supply</t>
        </is>
      </c>
      <c r="G513" t="inlineStr">
        <is>
          <t>Water</t>
        </is>
      </c>
      <c r="H513" t="inlineStr">
        <is>
          <t>Lead</t>
        </is>
      </c>
      <c r="I513" t="n">
        <v>0.0086</v>
      </c>
      <c r="J513" t="inlineStr">
        <is>
          <t>mg/L</t>
        </is>
      </c>
      <c r="K513" t="n">
        <v>0</v>
      </c>
      <c r="L513" t="n">
        <v>0.01</v>
      </c>
      <c r="M513" t="str">
        <f>IF(AND(I513&gt;=K513,I513&lt;=L513),"Yes","No")</f>
        <v>Yes</v>
      </c>
      <c r="N513" s="34">
        <f>IF(L513=0,"",I513/L513)</f>
        <v>0.86</v>
      </c>
      <c r="O513" s="33" t="n">
        <v>900</v>
      </c>
      <c r="P513" t="inlineStr">
        <is>
          <t>Gbarnga Health Center</t>
        </is>
      </c>
      <c r="Q513" t="inlineStr">
        <is>
          <t>P. Wleh</t>
        </is>
      </c>
    </row>
    <row r="514">
      <c r="A514" t="inlineStr">
        <is>
          <t>SL-2026-00511</t>
        </is>
      </c>
      <c r="B514" s="32" t="n">
        <v>46264</v>
      </c>
      <c r="C514" s="33">
        <f>MONTH(B514)</f>
        <v>8</v>
      </c>
      <c r="D514" t="inlineStr">
        <is>
          <t>Bong</t>
        </is>
      </c>
      <c r="E514" t="inlineStr">
        <is>
          <t>Gbarnga - Industrial Site</t>
        </is>
      </c>
      <c r="F514" t="inlineStr">
        <is>
          <t>Industrial Site</t>
        </is>
      </c>
      <c r="G514" t="inlineStr">
        <is>
          <t>Soil</t>
        </is>
      </c>
      <c r="H514" t="inlineStr">
        <is>
          <t>Arsenic</t>
        </is>
      </c>
      <c r="I514" t="n">
        <v>54</v>
      </c>
      <c r="J514" t="inlineStr">
        <is>
          <t>mg/kg</t>
        </is>
      </c>
      <c r="K514" t="n">
        <v>0</v>
      </c>
      <c r="L514" t="n">
        <v>20</v>
      </c>
      <c r="M514" t="str">
        <f>IF(AND(I514&gt;=K514,I514&lt;=L514),"Yes","No")</f>
        <v>No</v>
      </c>
      <c r="N514" s="34">
        <f>IF(L514=0,"",I514/L514)</f>
        <v>2.7</v>
      </c>
      <c r="O514" s="33" t="n">
        <v>3500</v>
      </c>
      <c r="P514" t="inlineStr">
        <is>
          <t>Suakoko Clinic</t>
        </is>
      </c>
      <c r="Q514" t="inlineStr">
        <is>
          <t>A. Kollie</t>
        </is>
      </c>
    </row>
    <row r="515">
      <c r="A515" t="inlineStr">
        <is>
          <t>SL-2026-00512</t>
        </is>
      </c>
      <c r="B515" s="32" t="n">
        <v>46245</v>
      </c>
      <c r="C515" s="33">
        <f>MONTH(B515)</f>
        <v>8</v>
      </c>
      <c r="D515" t="inlineStr">
        <is>
          <t>Bong</t>
        </is>
      </c>
      <c r="E515" t="inlineStr">
        <is>
          <t>Palala - Dumpsite Perimeter</t>
        </is>
      </c>
      <c r="F515" t="inlineStr">
        <is>
          <t>Dumpsite Perimeter</t>
        </is>
      </c>
      <c r="G515" t="inlineStr">
        <is>
          <t>Soil</t>
        </is>
      </c>
      <c r="H515" t="inlineStr">
        <is>
          <t>Lead</t>
        </is>
      </c>
      <c r="I515" t="n">
        <v>19</v>
      </c>
      <c r="J515" t="inlineStr">
        <is>
          <t>mg/kg</t>
        </is>
      </c>
      <c r="K515" t="n">
        <v>0</v>
      </c>
      <c r="L515" t="n">
        <v>100</v>
      </c>
      <c r="M515" t="str">
        <f>IF(AND(I515&gt;=K515,I515&lt;=L515),"Yes","No")</f>
        <v>Yes</v>
      </c>
      <c r="N515" s="34">
        <f>IF(L515=0,"",I515/L515)</f>
        <v>0.19</v>
      </c>
      <c r="O515" s="33" t="n">
        <v>200</v>
      </c>
      <c r="P515" t="inlineStr">
        <is>
          <t>Gbarnga Health Center</t>
        </is>
      </c>
      <c r="Q515" t="inlineStr">
        <is>
          <t>F. Gbato</t>
        </is>
      </c>
    </row>
    <row r="516">
      <c r="A516" t="inlineStr">
        <is>
          <t>SL-2026-00513</t>
        </is>
      </c>
      <c r="B516" s="32" t="n">
        <v>46244</v>
      </c>
      <c r="C516" s="33">
        <f>MONTH(B516)</f>
        <v>8</v>
      </c>
      <c r="D516" t="inlineStr">
        <is>
          <t>Grand Bassa</t>
        </is>
      </c>
      <c r="E516" t="inlineStr">
        <is>
          <t>Owensgrove - Industrial Site</t>
        </is>
      </c>
      <c r="F516" t="inlineStr">
        <is>
          <t>Industrial Site</t>
        </is>
      </c>
      <c r="G516" t="inlineStr">
        <is>
          <t>Soil</t>
        </is>
      </c>
      <c r="H516" t="inlineStr">
        <is>
          <t>Mercury</t>
        </is>
      </c>
      <c r="I516" t="n">
        <v>2.4</v>
      </c>
      <c r="J516" t="inlineStr">
        <is>
          <t>mg/kg</t>
        </is>
      </c>
      <c r="K516" t="n">
        <v>0</v>
      </c>
      <c r="L516" t="n">
        <v>1</v>
      </c>
      <c r="M516" t="str">
        <f>IF(AND(I516&gt;=K516,I516&lt;=L516),"Yes","No")</f>
        <v>No</v>
      </c>
      <c r="N516" s="34">
        <f>IF(L516=0,"",I516/L516)</f>
        <v>2.4</v>
      </c>
      <c r="O516" s="33" t="n">
        <v>200</v>
      </c>
      <c r="P516" t="inlineStr">
        <is>
          <t>Edina Health Center</t>
        </is>
      </c>
      <c r="Q516" t="inlineStr">
        <is>
          <t>S. Dolo</t>
        </is>
      </c>
    </row>
    <row r="517">
      <c r="A517" t="inlineStr">
        <is>
          <t>WQ-2026-00514</t>
        </is>
      </c>
      <c r="B517" s="32" t="n">
        <v>46248</v>
      </c>
      <c r="C517" s="33">
        <f>MONTH(B517)</f>
        <v>8</v>
      </c>
      <c r="D517" t="inlineStr">
        <is>
          <t>Nimba</t>
        </is>
      </c>
      <c r="E517" t="inlineStr">
        <is>
          <t>Saclepea - School Water Point</t>
        </is>
      </c>
      <c r="F517" t="inlineStr">
        <is>
          <t>School Water Point</t>
        </is>
      </c>
      <c r="G517" t="inlineStr">
        <is>
          <t>Water</t>
        </is>
      </c>
      <c r="H517" t="inlineStr">
        <is>
          <t>Total Coliform</t>
        </is>
      </c>
      <c r="I517" t="n">
        <v>0</v>
      </c>
      <c r="J517" t="inlineStr">
        <is>
          <t>CFU/100 mL</t>
        </is>
      </c>
      <c r="K517" t="n">
        <v>0</v>
      </c>
      <c r="L517" t="n">
        <v>0</v>
      </c>
      <c r="M517" t="str">
        <f>IF(AND(I517&gt;=K517,I517&lt;=L517),"Yes","No")</f>
        <v>Yes</v>
      </c>
      <c r="N517" s="34">
        <f>IF(L517=0,"",I517/L517)</f>
        <v/>
      </c>
      <c r="O517" s="33" t="n">
        <v>4200</v>
      </c>
      <c r="P517" t="inlineStr">
        <is>
          <t>Tappita Referral Hospital</t>
        </is>
      </c>
      <c r="Q517" t="inlineStr">
        <is>
          <t>T. Mulbah</t>
        </is>
      </c>
    </row>
    <row r="518">
      <c r="A518" t="inlineStr">
        <is>
          <t>WQ-2026-00515</t>
        </is>
      </c>
      <c r="B518" s="32" t="n">
        <v>46235</v>
      </c>
      <c r="C518" s="33">
        <f>MONTH(B518)</f>
        <v>8</v>
      </c>
      <c r="D518" t="inlineStr">
        <is>
          <t>Nimba</t>
        </is>
      </c>
      <c r="E518" t="inlineStr">
        <is>
          <t>Butuo - School Water Point</t>
        </is>
      </c>
      <c r="F518" t="inlineStr">
        <is>
          <t>School Water Point</t>
        </is>
      </c>
      <c r="G518" t="inlineStr">
        <is>
          <t>Water</t>
        </is>
      </c>
      <c r="H518" t="inlineStr">
        <is>
          <t>Nitrate (as NO3)</t>
        </is>
      </c>
      <c r="I518" t="n">
        <v>8.9</v>
      </c>
      <c r="J518" t="inlineStr">
        <is>
          <t>mg/L</t>
        </is>
      </c>
      <c r="K518" t="n">
        <v>0</v>
      </c>
      <c r="L518" t="n">
        <v>10</v>
      </c>
      <c r="M518" t="str">
        <f>IF(AND(I518&gt;=K518,I518&lt;=L518),"Yes","No")</f>
        <v>Yes</v>
      </c>
      <c r="N518" s="34">
        <f>IF(L518=0,"",I518/L518)</f>
        <v>0.89</v>
      </c>
      <c r="O518" s="33" t="n">
        <v>750</v>
      </c>
      <c r="P518" t="inlineStr">
        <is>
          <t>Tappita Referral Hospital</t>
        </is>
      </c>
      <c r="Q518" t="inlineStr">
        <is>
          <t>E. Sebo</t>
        </is>
      </c>
    </row>
    <row r="519">
      <c r="A519" t="inlineStr">
        <is>
          <t>AQ-2026-00516</t>
        </is>
      </c>
      <c r="B519" s="32" t="n">
        <v>46244</v>
      </c>
      <c r="C519" s="33">
        <f>MONTH(B519)</f>
        <v>8</v>
      </c>
      <c r="D519" t="inlineStr">
        <is>
          <t>Nimba</t>
        </is>
      </c>
      <c r="E519" t="inlineStr">
        <is>
          <t>Golden Veroleum Palm Oil</t>
        </is>
      </c>
      <c r="F519" t="inlineStr">
        <is>
          <t>Industrial Perimeter</t>
        </is>
      </c>
      <c r="G519" t="inlineStr">
        <is>
          <t>Air</t>
        </is>
      </c>
      <c r="H519" t="inlineStr">
        <is>
          <t>PM10</t>
        </is>
      </c>
      <c r="I519" t="n">
        <v>6.7</v>
      </c>
      <c r="J519" t="inlineStr">
        <is>
          <t>ug/m3</t>
        </is>
      </c>
      <c r="K519" t="n">
        <v>0</v>
      </c>
      <c r="L519" t="n">
        <v>50</v>
      </c>
      <c r="M519" t="str">
        <f>IF(AND(I519&gt;=K519,I519&lt;=L519),"Yes","No")</f>
        <v>Yes</v>
      </c>
      <c r="N519" s="34">
        <f>IF(L519=0,"",I519/L519)</f>
        <v>0.134</v>
      </c>
      <c r="O519" s="33" t="n">
        <v>1500</v>
      </c>
      <c r="P519" t="inlineStr">
        <is>
          <t>Tappita Referral Hospital</t>
        </is>
      </c>
      <c r="Q519" t="inlineStr">
        <is>
          <t>E. Sebo</t>
        </is>
      </c>
    </row>
    <row r="520">
      <c r="A520" t="inlineStr">
        <is>
          <t>SL-2026-00517</t>
        </is>
      </c>
      <c r="B520" s="32" t="n">
        <v>46245</v>
      </c>
      <c r="C520" s="33">
        <f>MONTH(B520)</f>
        <v>8</v>
      </c>
      <c r="D520" t="inlineStr">
        <is>
          <t>Margibi</t>
        </is>
      </c>
      <c r="E520" t="inlineStr">
        <is>
          <t>Weala - Industrial Site</t>
        </is>
      </c>
      <c r="F520" t="inlineStr">
        <is>
          <t>Industrial Site</t>
        </is>
      </c>
      <c r="G520" t="inlineStr">
        <is>
          <t>Soil</t>
        </is>
      </c>
      <c r="H520" t="inlineStr">
        <is>
          <t>Mercury</t>
        </is>
      </c>
      <c r="I520" t="n">
        <v>0.9</v>
      </c>
      <c r="J520" t="inlineStr">
        <is>
          <t>mg/kg</t>
        </is>
      </c>
      <c r="K520" t="n">
        <v>0</v>
      </c>
      <c r="L520" t="n">
        <v>1</v>
      </c>
      <c r="M520" t="str">
        <f>IF(AND(I520&gt;=K520,I520&lt;=L520),"Yes","No")</f>
        <v>Yes</v>
      </c>
      <c r="N520" s="34">
        <f>IF(L520=0,"",I520/L520)</f>
        <v>0.9</v>
      </c>
      <c r="O520" s="33" t="n">
        <v>3500</v>
      </c>
      <c r="P520" t="inlineStr">
        <is>
          <t>C.H. Rennie Hospital</t>
        </is>
      </c>
      <c r="Q520" t="inlineStr">
        <is>
          <t>B. Kpadeh</t>
        </is>
      </c>
    </row>
    <row r="521">
      <c r="A521" t="inlineStr">
        <is>
          <t>WQ-2026-00518</t>
        </is>
      </c>
      <c r="B521" s="32" t="n">
        <v>46235</v>
      </c>
      <c r="C521" s="33">
        <f>MONTH(B521)</f>
        <v>8</v>
      </c>
      <c r="D521" t="inlineStr">
        <is>
          <t>Sinoe</t>
        </is>
      </c>
      <c r="E521" t="inlineStr">
        <is>
          <t>Butaw - Community Borehole</t>
        </is>
      </c>
      <c r="F521" t="inlineStr">
        <is>
          <t>Community Borehole</t>
        </is>
      </c>
      <c r="G521" t="inlineStr">
        <is>
          <t>Water</t>
        </is>
      </c>
      <c r="H521" t="inlineStr">
        <is>
          <t>Nitrate (as NO3)</t>
        </is>
      </c>
      <c r="I521" t="n">
        <v>6.6</v>
      </c>
      <c r="J521" t="inlineStr">
        <is>
          <t>mg/L</t>
        </is>
      </c>
      <c r="K521" t="n">
        <v>0</v>
      </c>
      <c r="L521" t="n">
        <v>10</v>
      </c>
      <c r="M521" t="str">
        <f>IF(AND(I521&gt;=K521,I521&lt;=L521),"Yes","No")</f>
        <v>Yes</v>
      </c>
      <c r="N521" s="34">
        <f>IF(L521=0,"",I521/L521)</f>
        <v>0.66</v>
      </c>
      <c r="O521" s="33" t="n">
        <v>1200</v>
      </c>
      <c r="P521" t="inlineStr">
        <is>
          <t>F.J. Grante Hospital</t>
        </is>
      </c>
      <c r="Q521" t="inlineStr">
        <is>
          <t>J. Nyeman</t>
        </is>
      </c>
    </row>
    <row r="522">
      <c r="A522" t="inlineStr">
        <is>
          <t>RD-2026-00519</t>
        </is>
      </c>
      <c r="B522" s="32" t="n">
        <v>46248</v>
      </c>
      <c r="C522" s="33">
        <f>MONTH(B522)</f>
        <v>8</v>
      </c>
      <c r="D522" t="inlineStr">
        <is>
          <t>Nimba</t>
        </is>
      </c>
      <c r="E522" t="inlineStr">
        <is>
          <t>Tappita - Dumpsite Perimeter</t>
        </is>
      </c>
      <c r="F522" t="inlineStr">
        <is>
          <t>Dumpsite Perimeter</t>
        </is>
      </c>
      <c r="G522" t="inlineStr">
        <is>
          <t>Ambient Radiation</t>
        </is>
      </c>
      <c r="H522" t="inlineStr">
        <is>
          <t>Gamma Dose Rate</t>
        </is>
      </c>
      <c r="I522" t="n">
        <v>0.15</v>
      </c>
      <c r="J522" t="inlineStr">
        <is>
          <t>uSv/h</t>
        </is>
      </c>
      <c r="K522" t="n">
        <v>0</v>
      </c>
      <c r="L522" t="n">
        <v>0.3</v>
      </c>
      <c r="M522" t="str">
        <f>IF(AND(I522&gt;=K522,I522&lt;=L522),"Yes","No")</f>
        <v>Yes</v>
      </c>
      <c r="N522" s="34">
        <f>IF(L522=0,"",I522/L522)</f>
        <v>0.5</v>
      </c>
      <c r="O522" s="33" t="n">
        <v>0</v>
      </c>
      <c r="P522" t="inlineStr">
        <is>
          <t>Saclepea Health Center</t>
        </is>
      </c>
      <c r="Q522" t="inlineStr">
        <is>
          <t>T. Mulbah</t>
        </is>
      </c>
    </row>
    <row r="523">
      <c r="A523" t="inlineStr">
        <is>
          <t>WQ-2026-00520</t>
        </is>
      </c>
      <c r="B523" s="32" t="n">
        <v>46250</v>
      </c>
      <c r="C523" s="33">
        <f>MONTH(B523)</f>
        <v>8</v>
      </c>
      <c r="D523" t="inlineStr">
        <is>
          <t>Grand Gedeh</t>
        </is>
      </c>
      <c r="E523" t="inlineStr">
        <is>
          <t>Zwedru - River / Stream Intake</t>
        </is>
      </c>
      <c r="F523" t="inlineStr">
        <is>
          <t>River / Stream Intake</t>
        </is>
      </c>
      <c r="G523" t="inlineStr">
        <is>
          <t>Water</t>
        </is>
      </c>
      <c r="H523" t="inlineStr">
        <is>
          <t>Total Coliform</t>
        </is>
      </c>
      <c r="I523" t="n">
        <v>0</v>
      </c>
      <c r="J523" t="inlineStr">
        <is>
          <t>CFU/100 mL</t>
        </is>
      </c>
      <c r="K523" t="n">
        <v>0</v>
      </c>
      <c r="L523" t="n">
        <v>0</v>
      </c>
      <c r="M523" t="str">
        <f>IF(AND(I523&gt;=K523,I523&lt;=L523),"Yes","No")</f>
        <v>Yes</v>
      </c>
      <c r="N523" s="34">
        <f>IF(L523=0,"",I523/L523)</f>
        <v/>
      </c>
      <c r="O523" s="33" t="n">
        <v>750</v>
      </c>
      <c r="P523" t="inlineStr">
        <is>
          <t>Zwedru Health Center</t>
        </is>
      </c>
      <c r="Q523" t="inlineStr">
        <is>
          <t>E. Sebo</t>
        </is>
      </c>
    </row>
    <row r="524">
      <c r="A524" t="inlineStr">
        <is>
          <t>WQ-2026-00521</t>
        </is>
      </c>
      <c r="B524" s="32" t="n">
        <v>46245</v>
      </c>
      <c r="C524" s="33">
        <f>MONTH(B524)</f>
        <v>8</v>
      </c>
      <c r="D524" t="inlineStr">
        <is>
          <t>Nimba</t>
        </is>
      </c>
      <c r="E524" t="inlineStr">
        <is>
          <t>Butuo - Health Facility Supply</t>
        </is>
      </c>
      <c r="F524" t="inlineStr">
        <is>
          <t>Health Facility Supply</t>
        </is>
      </c>
      <c r="G524" t="inlineStr">
        <is>
          <t>Water</t>
        </is>
      </c>
      <c r="H524" t="inlineStr">
        <is>
          <t>Turbidity</t>
        </is>
      </c>
      <c r="I524" t="n">
        <v>10.2</v>
      </c>
      <c r="J524" t="inlineStr">
        <is>
          <t>NTU</t>
        </is>
      </c>
      <c r="K524" t="n">
        <v>0</v>
      </c>
      <c r="L524" t="n">
        <v>5</v>
      </c>
      <c r="M524" t="str">
        <f>IF(AND(I524&gt;=K524,I524&lt;=L524),"Yes","No")</f>
        <v>No</v>
      </c>
      <c r="N524" s="34">
        <f>IF(L524=0,"",I524/L524)</f>
        <v>2.04</v>
      </c>
      <c r="O524" s="33" t="n">
        <v>900</v>
      </c>
      <c r="P524" t="inlineStr">
        <is>
          <t>Ganta United Methodist Hospital</t>
        </is>
      </c>
      <c r="Q524" t="inlineStr">
        <is>
          <t>M. Toe</t>
        </is>
      </c>
    </row>
    <row r="525">
      <c r="A525" t="inlineStr">
        <is>
          <t>AQ-2026-00522</t>
        </is>
      </c>
      <c r="B525" s="32" t="n">
        <v>46254</v>
      </c>
      <c r="C525" s="33">
        <f>MONTH(B525)</f>
        <v>8</v>
      </c>
      <c r="D525" t="inlineStr">
        <is>
          <t>Margibi</t>
        </is>
      </c>
      <c r="E525" t="inlineStr">
        <is>
          <t>Harbel - Industrial Perimeter</t>
        </is>
      </c>
      <c r="F525" t="inlineStr">
        <is>
          <t>Industrial Perimeter</t>
        </is>
      </c>
      <c r="G525" t="inlineStr">
        <is>
          <t>Air</t>
        </is>
      </c>
      <c r="H525" t="inlineStr">
        <is>
          <t>PM2.5</t>
        </is>
      </c>
      <c r="I525" t="n">
        <v>39.4</v>
      </c>
      <c r="J525" t="inlineStr">
        <is>
          <t>ug/m3</t>
        </is>
      </c>
      <c r="K525" t="n">
        <v>0</v>
      </c>
      <c r="L525" t="n">
        <v>25</v>
      </c>
      <c r="M525" t="str">
        <f>IF(AND(I525&gt;=K525,I525&lt;=L525),"Yes","No")</f>
        <v>No</v>
      </c>
      <c r="N525" s="34">
        <f>IF(L525=0,"",I525/L525)</f>
        <v>1.576</v>
      </c>
      <c r="O525" s="33" t="n">
        <v>6000</v>
      </c>
      <c r="P525" t="inlineStr">
        <is>
          <t>Harbel Health Center</t>
        </is>
      </c>
      <c r="Q525" t="inlineStr">
        <is>
          <t>P. Wleh</t>
        </is>
      </c>
    </row>
    <row r="526">
      <c r="A526" t="inlineStr">
        <is>
          <t>WQ-2026-00523</t>
        </is>
      </c>
      <c r="B526" s="32" t="n">
        <v>46256</v>
      </c>
      <c r="C526" s="33">
        <f>MONTH(B526)</f>
        <v>8</v>
      </c>
      <c r="D526" t="inlineStr">
        <is>
          <t>Sinoe</t>
        </is>
      </c>
      <c r="E526" t="inlineStr">
        <is>
          <t>Juazon - Community Borehole</t>
        </is>
      </c>
      <c r="F526" t="inlineStr">
        <is>
          <t>Community Borehole</t>
        </is>
      </c>
      <c r="G526" t="inlineStr">
        <is>
          <t>Water</t>
        </is>
      </c>
      <c r="H526" t="inlineStr">
        <is>
          <t>Turbidity</t>
        </is>
      </c>
      <c r="I526" t="n">
        <v>3.8</v>
      </c>
      <c r="J526" t="inlineStr">
        <is>
          <t>NTU</t>
        </is>
      </c>
      <c r="K526" t="n">
        <v>0</v>
      </c>
      <c r="L526" t="n">
        <v>5</v>
      </c>
      <c r="M526" t="str">
        <f>IF(AND(I526&gt;=K526,I526&lt;=L526),"Yes","No")</f>
        <v>Yes</v>
      </c>
      <c r="N526" s="34">
        <f>IF(L526=0,"",I526/L526)</f>
        <v>0.76</v>
      </c>
      <c r="O526" s="33" t="n">
        <v>350</v>
      </c>
      <c r="P526" t="inlineStr">
        <is>
          <t>Greenville Health Center</t>
        </is>
      </c>
      <c r="Q526" t="inlineStr">
        <is>
          <t>H. Zolia</t>
        </is>
      </c>
    </row>
    <row r="527">
      <c r="A527" t="inlineStr">
        <is>
          <t>WQ-2026-00524</t>
        </is>
      </c>
      <c r="B527" s="32" t="n">
        <v>46256</v>
      </c>
      <c r="C527" s="33">
        <f>MONTH(B527)</f>
        <v>8</v>
      </c>
      <c r="D527" t="inlineStr">
        <is>
          <t>Montserrado</t>
        </is>
      </c>
      <c r="E527" t="inlineStr">
        <is>
          <t>Paynesville - Community Borehole</t>
        </is>
      </c>
      <c r="F527" t="inlineStr">
        <is>
          <t>Community Borehole</t>
        </is>
      </c>
      <c r="G527" t="inlineStr">
        <is>
          <t>Water</t>
        </is>
      </c>
      <c r="H527" t="inlineStr">
        <is>
          <t>Total Coliform</t>
        </is>
      </c>
      <c r="I527" t="n">
        <v>0</v>
      </c>
      <c r="J527" t="inlineStr">
        <is>
          <t>CFU/100 mL</t>
        </is>
      </c>
      <c r="K527" t="n">
        <v>0</v>
      </c>
      <c r="L527" t="n">
        <v>0</v>
      </c>
      <c r="M527" t="str">
        <f>IF(AND(I527&gt;=K527,I527&lt;=L527),"Yes","No")</f>
        <v>Yes</v>
      </c>
      <c r="N527" s="34">
        <f>IF(L527=0,"",I527/L527)</f>
        <v/>
      </c>
      <c r="O527" s="33" t="n">
        <v>1800</v>
      </c>
      <c r="P527" t="inlineStr">
        <is>
          <t>St. Joseph's Catholic Hospital</t>
        </is>
      </c>
      <c r="Q527" t="inlineStr">
        <is>
          <t>M. Toe</t>
        </is>
      </c>
    </row>
    <row r="528">
      <c r="A528" t="inlineStr">
        <is>
          <t>SL-2026-00525</t>
        </is>
      </c>
      <c r="B528" s="32" t="n">
        <v>46239</v>
      </c>
      <c r="C528" s="33">
        <f>MONTH(B528)</f>
        <v>8</v>
      </c>
      <c r="D528" t="inlineStr">
        <is>
          <t>Grand Bassa</t>
        </is>
      </c>
      <c r="E528" t="inlineStr">
        <is>
          <t>Cavalla Rubber Corporation</t>
        </is>
      </c>
      <c r="F528" t="inlineStr">
        <is>
          <t>Industrial Perimeter</t>
        </is>
      </c>
      <c r="G528" t="inlineStr">
        <is>
          <t>Soil</t>
        </is>
      </c>
      <c r="H528" t="inlineStr">
        <is>
          <t>Arsenic</t>
        </is>
      </c>
      <c r="I528" t="n">
        <v>11.1</v>
      </c>
      <c r="J528" t="inlineStr">
        <is>
          <t>mg/kg</t>
        </is>
      </c>
      <c r="K528" t="n">
        <v>0</v>
      </c>
      <c r="L528" t="n">
        <v>20</v>
      </c>
      <c r="M528" t="str">
        <f>IF(AND(I528&gt;=K528,I528&lt;=L528),"Yes","No")</f>
        <v>Yes</v>
      </c>
      <c r="N528" s="34">
        <f>IF(L528=0,"",I528/L528)</f>
        <v>0.555</v>
      </c>
      <c r="O528" s="33" t="n">
        <v>2200</v>
      </c>
      <c r="P528" t="inlineStr">
        <is>
          <t>Edina Health Center</t>
        </is>
      </c>
      <c r="Q528" t="inlineStr">
        <is>
          <t>B. Kpadeh</t>
        </is>
      </c>
    </row>
    <row r="529">
      <c r="A529" t="inlineStr">
        <is>
          <t>RD-2026-00526</t>
        </is>
      </c>
      <c r="B529" s="32" t="n">
        <v>46240</v>
      </c>
      <c r="C529" s="33">
        <f>MONTH(B529)</f>
        <v>8</v>
      </c>
      <c r="D529" t="inlineStr">
        <is>
          <t>Lofa</t>
        </is>
      </c>
      <c r="E529" t="inlineStr">
        <is>
          <t>Kolahun - Medical Facility</t>
        </is>
      </c>
      <c r="F529" t="inlineStr">
        <is>
          <t>Medical Facility</t>
        </is>
      </c>
      <c r="G529" t="inlineStr">
        <is>
          <t>Ambient Radiation</t>
        </is>
      </c>
      <c r="H529" t="inlineStr">
        <is>
          <t>Gamma Dose Rate</t>
        </is>
      </c>
      <c r="I529" t="n">
        <v>0.26</v>
      </c>
      <c r="J529" t="inlineStr">
        <is>
          <t>uSv/h</t>
        </is>
      </c>
      <c r="K529" t="n">
        <v>0</v>
      </c>
      <c r="L529" t="n">
        <v>0.3</v>
      </c>
      <c r="M529" t="str">
        <f>IF(AND(I529&gt;=K529,I529&lt;=L529),"Yes","No")</f>
        <v>Yes</v>
      </c>
      <c r="N529" s="34">
        <f>IF(L529=0,"",I529/L529)</f>
        <v>0.8666666667</v>
      </c>
      <c r="O529" s="33" t="n">
        <v>0</v>
      </c>
      <c r="P529" t="inlineStr">
        <is>
          <t>Foya Health Center</t>
        </is>
      </c>
      <c r="Q529" t="inlineStr">
        <is>
          <t>M. Toe</t>
        </is>
      </c>
    </row>
    <row r="530">
      <c r="A530" t="inlineStr">
        <is>
          <t>WQ-2026-00527</t>
        </is>
      </c>
      <c r="B530" s="32" t="n">
        <v>46260</v>
      </c>
      <c r="C530" s="33">
        <f>MONTH(B530)</f>
        <v>8</v>
      </c>
      <c r="D530" t="inlineStr">
        <is>
          <t>Bong</t>
        </is>
      </c>
      <c r="E530" t="inlineStr">
        <is>
          <t>Totota - Health Facility Supply</t>
        </is>
      </c>
      <c r="F530" t="inlineStr">
        <is>
          <t>Health Facility Supply</t>
        </is>
      </c>
      <c r="G530" t="inlineStr">
        <is>
          <t>Water</t>
        </is>
      </c>
      <c r="H530" t="inlineStr">
        <is>
          <t>Lead</t>
        </is>
      </c>
      <c r="I530" t="n">
        <v>0.0017</v>
      </c>
      <c r="J530" t="inlineStr">
        <is>
          <t>mg/L</t>
        </is>
      </c>
      <c r="K530" t="n">
        <v>0</v>
      </c>
      <c r="L530" t="n">
        <v>0.01</v>
      </c>
      <c r="M530" t="str">
        <f>IF(AND(I530&gt;=K530,I530&lt;=L530),"Yes","No")</f>
        <v>Yes</v>
      </c>
      <c r="N530" s="34">
        <f>IF(L530=0,"",I530/L530)</f>
        <v>0.17</v>
      </c>
      <c r="O530" s="33" t="n">
        <v>2500</v>
      </c>
      <c r="P530" t="inlineStr">
        <is>
          <t>Suakoko Clinic</t>
        </is>
      </c>
      <c r="Q530" t="inlineStr">
        <is>
          <t>T. Mulbah</t>
        </is>
      </c>
    </row>
    <row r="531">
      <c r="A531" t="inlineStr">
        <is>
          <t>WQ-2026-00528</t>
        </is>
      </c>
      <c r="B531" s="32" t="n">
        <v>46240</v>
      </c>
      <c r="C531" s="33">
        <f>MONTH(B531)</f>
        <v>8</v>
      </c>
      <c r="D531" t="inlineStr">
        <is>
          <t>Grand Bassa</t>
        </is>
      </c>
      <c r="E531" t="inlineStr">
        <is>
          <t>Edina - Health Facility Supply</t>
        </is>
      </c>
      <c r="F531" t="inlineStr">
        <is>
          <t>Health Facility Supply</t>
        </is>
      </c>
      <c r="G531" t="inlineStr">
        <is>
          <t>Water</t>
        </is>
      </c>
      <c r="H531" t="inlineStr">
        <is>
          <t>Lead</t>
        </is>
      </c>
      <c r="I531" t="n">
        <v>0.0011</v>
      </c>
      <c r="J531" t="inlineStr">
        <is>
          <t>mg/L</t>
        </is>
      </c>
      <c r="K531" t="n">
        <v>0</v>
      </c>
      <c r="L531" t="n">
        <v>0.01</v>
      </c>
      <c r="M531" t="str">
        <f>IF(AND(I531&gt;=K531,I531&lt;=L531),"Yes","No")</f>
        <v>Yes</v>
      </c>
      <c r="N531" s="34">
        <f>IF(L531=0,"",I531/L531)</f>
        <v>0.11</v>
      </c>
      <c r="O531" s="33" t="n">
        <v>120</v>
      </c>
      <c r="P531" t="inlineStr">
        <is>
          <t>Edina Health Center</t>
        </is>
      </c>
      <c r="Q531" t="inlineStr">
        <is>
          <t>F. Gbato</t>
        </is>
      </c>
    </row>
    <row r="532">
      <c r="A532" t="inlineStr">
        <is>
          <t>AQ-2026-00529</t>
        </is>
      </c>
      <c r="B532" s="32" t="n">
        <v>46238</v>
      </c>
      <c r="C532" s="33">
        <f>MONTH(B532)</f>
        <v>8</v>
      </c>
      <c r="D532" t="inlineStr">
        <is>
          <t>Montserrado</t>
        </is>
      </c>
      <c r="E532" t="inlineStr">
        <is>
          <t>Liberia Petroleum Refinery</t>
        </is>
      </c>
      <c r="F532" t="inlineStr">
        <is>
          <t>Industrial Perimeter</t>
        </is>
      </c>
      <c r="G532" t="inlineStr">
        <is>
          <t>Air</t>
        </is>
      </c>
      <c r="H532" t="inlineStr">
        <is>
          <t>PM10</t>
        </is>
      </c>
      <c r="I532" t="n">
        <v>44</v>
      </c>
      <c r="J532" t="inlineStr">
        <is>
          <t>ug/m3</t>
        </is>
      </c>
      <c r="K532" t="n">
        <v>0</v>
      </c>
      <c r="L532" t="n">
        <v>50</v>
      </c>
      <c r="M532" t="str">
        <f>IF(AND(I532&gt;=K532,I532&lt;=L532),"Yes","No")</f>
        <v>Yes</v>
      </c>
      <c r="N532" s="34">
        <f>IF(L532=0,"",I532/L532)</f>
        <v>0.88</v>
      </c>
      <c r="O532" s="33" t="n">
        <v>200</v>
      </c>
      <c r="P532" t="inlineStr">
        <is>
          <t>Benson Hospital</t>
        </is>
      </c>
      <c r="Q532" t="inlineStr">
        <is>
          <t>S. Dolo</t>
        </is>
      </c>
    </row>
    <row r="533">
      <c r="A533" t="inlineStr">
        <is>
          <t>WQ-2026-00530</t>
        </is>
      </c>
      <c r="B533" s="32" t="n">
        <v>46262</v>
      </c>
      <c r="C533" s="33">
        <f>MONTH(B533)</f>
        <v>8</v>
      </c>
      <c r="D533" t="inlineStr">
        <is>
          <t>Lofa</t>
        </is>
      </c>
      <c r="E533" t="inlineStr">
        <is>
          <t>Foya - River / Stream Intake</t>
        </is>
      </c>
      <c r="F533" t="inlineStr">
        <is>
          <t>River / Stream Intake</t>
        </is>
      </c>
      <c r="G533" t="inlineStr">
        <is>
          <t>Water</t>
        </is>
      </c>
      <c r="H533" t="inlineStr">
        <is>
          <t>Lead</t>
        </is>
      </c>
      <c r="I533" t="n">
        <v>0.0005</v>
      </c>
      <c r="J533" t="inlineStr">
        <is>
          <t>mg/L</t>
        </is>
      </c>
      <c r="K533" t="n">
        <v>0</v>
      </c>
      <c r="L533" t="n">
        <v>0.01</v>
      </c>
      <c r="M533" t="str">
        <f>IF(AND(I533&gt;=K533,I533&lt;=L533),"Yes","No")</f>
        <v>Yes</v>
      </c>
      <c r="N533" s="34">
        <f>IF(L533=0,"",I533/L533)</f>
        <v>0.05</v>
      </c>
      <c r="O533" s="33" t="n">
        <v>500</v>
      </c>
      <c r="P533" t="inlineStr">
        <is>
          <t>Curran Lutheran Hospital</t>
        </is>
      </c>
      <c r="Q533" t="inlineStr">
        <is>
          <t>E. Sebo</t>
        </is>
      </c>
    </row>
    <row r="534">
      <c r="A534" t="inlineStr">
        <is>
          <t>WQ-2026-00531</t>
        </is>
      </c>
      <c r="B534" s="32" t="n">
        <v>46237</v>
      </c>
      <c r="C534" s="33">
        <f>MONTH(B534)</f>
        <v>8</v>
      </c>
      <c r="D534" t="inlineStr">
        <is>
          <t>Grand Bassa</t>
        </is>
      </c>
      <c r="E534" t="inlineStr">
        <is>
          <t>Owensgrove - Community Borehole</t>
        </is>
      </c>
      <c r="F534" t="inlineStr">
        <is>
          <t>Community Borehole</t>
        </is>
      </c>
      <c r="G534" t="inlineStr">
        <is>
          <t>Water</t>
        </is>
      </c>
      <c r="H534" t="inlineStr">
        <is>
          <t>E. coli</t>
        </is>
      </c>
      <c r="I534" t="n">
        <v>0</v>
      </c>
      <c r="J534" t="inlineStr">
        <is>
          <t>CFU/100 mL</t>
        </is>
      </c>
      <c r="K534" t="n">
        <v>0</v>
      </c>
      <c r="L534" t="n">
        <v>0</v>
      </c>
      <c r="M534" t="str">
        <f>IF(AND(I534&gt;=K534,I534&lt;=L534),"Yes","No")</f>
        <v>Yes</v>
      </c>
      <c r="N534" s="34">
        <f>IF(L534=0,"",I534/L534)</f>
        <v/>
      </c>
      <c r="O534" s="33" t="n">
        <v>900</v>
      </c>
      <c r="P534" t="inlineStr">
        <is>
          <t>Buchanan Government Hospital</t>
        </is>
      </c>
      <c r="Q534" t="inlineStr">
        <is>
          <t>J. Nyeman</t>
        </is>
      </c>
    </row>
    <row r="535">
      <c r="A535" t="inlineStr">
        <is>
          <t>RD-2026-00532</t>
        </is>
      </c>
      <c r="B535" s="32" t="n">
        <v>46252</v>
      </c>
      <c r="C535" s="33">
        <f>MONTH(B535)</f>
        <v>8</v>
      </c>
      <c r="D535" t="inlineStr">
        <is>
          <t>Bong</t>
        </is>
      </c>
      <c r="E535" t="inlineStr">
        <is>
          <t>Suakoko - Medical Facility</t>
        </is>
      </c>
      <c r="F535" t="inlineStr">
        <is>
          <t>Medical Facility</t>
        </is>
      </c>
      <c r="G535" t="inlineStr">
        <is>
          <t>Ambient Radiation</t>
        </is>
      </c>
      <c r="H535" t="inlineStr">
        <is>
          <t>Gamma Dose Rate</t>
        </is>
      </c>
      <c r="I535" t="n">
        <v>0.28</v>
      </c>
      <c r="J535" t="inlineStr">
        <is>
          <t>uSv/h</t>
        </is>
      </c>
      <c r="K535" t="n">
        <v>0</v>
      </c>
      <c r="L535" t="n">
        <v>0.3</v>
      </c>
      <c r="M535" t="str">
        <f>IF(AND(I535&gt;=K535,I535&lt;=L535),"Yes","No")</f>
        <v>Yes</v>
      </c>
      <c r="N535" s="34">
        <f>IF(L535=0,"",I535/L535)</f>
        <v>0.9333333333</v>
      </c>
      <c r="O535" s="33" t="n">
        <v>0</v>
      </c>
      <c r="P535" t="inlineStr">
        <is>
          <t>Phebe Hospital</t>
        </is>
      </c>
      <c r="Q535" t="inlineStr">
        <is>
          <t>S. Dolo</t>
        </is>
      </c>
    </row>
    <row r="536">
      <c r="A536" t="inlineStr">
        <is>
          <t>WQ-2026-00533</t>
        </is>
      </c>
      <c r="B536" s="32" t="n">
        <v>46249</v>
      </c>
      <c r="C536" s="33">
        <f>MONTH(B536)</f>
        <v>8</v>
      </c>
      <c r="D536" t="inlineStr">
        <is>
          <t>Bong</t>
        </is>
      </c>
      <c r="E536" t="inlineStr">
        <is>
          <t>Salala - River / Stream Intake</t>
        </is>
      </c>
      <c r="F536" t="inlineStr">
        <is>
          <t>River / Stream Intake</t>
        </is>
      </c>
      <c r="G536" t="inlineStr">
        <is>
          <t>Water</t>
        </is>
      </c>
      <c r="H536" t="inlineStr">
        <is>
          <t>Lead</t>
        </is>
      </c>
      <c r="I536" t="n">
        <v>0.0059</v>
      </c>
      <c r="J536" t="inlineStr">
        <is>
          <t>mg/L</t>
        </is>
      </c>
      <c r="K536" t="n">
        <v>0</v>
      </c>
      <c r="L536" t="n">
        <v>0.01</v>
      </c>
      <c r="M536" t="str">
        <f>IF(AND(I536&gt;=K536,I536&lt;=L536),"Yes","No")</f>
        <v>Yes</v>
      </c>
      <c r="N536" s="34">
        <f>IF(L536=0,"",I536/L536)</f>
        <v>0.59</v>
      </c>
      <c r="O536" s="33" t="n">
        <v>500</v>
      </c>
      <c r="P536" t="inlineStr">
        <is>
          <t>Suakoko Clinic</t>
        </is>
      </c>
      <c r="Q536" t="inlineStr">
        <is>
          <t>M. Toe</t>
        </is>
      </c>
    </row>
    <row r="537">
      <c r="A537" t="inlineStr">
        <is>
          <t>SL-2026-00534</t>
        </is>
      </c>
      <c r="B537" s="32" t="n">
        <v>46260</v>
      </c>
      <c r="C537" s="33">
        <f>MONTH(B537)</f>
        <v>8</v>
      </c>
      <c r="D537" t="inlineStr">
        <is>
          <t>Bong</t>
        </is>
      </c>
      <c r="E537" t="inlineStr">
        <is>
          <t>Liberia Petroleum Refinery</t>
        </is>
      </c>
      <c r="F537" t="inlineStr">
        <is>
          <t>Industrial Perimeter</t>
        </is>
      </c>
      <c r="G537" t="inlineStr">
        <is>
          <t>Soil</t>
        </is>
      </c>
      <c r="H537" t="inlineStr">
        <is>
          <t>Lead</t>
        </is>
      </c>
      <c r="I537" t="n">
        <v>75</v>
      </c>
      <c r="J537" t="inlineStr">
        <is>
          <t>mg/kg</t>
        </is>
      </c>
      <c r="K537" t="n">
        <v>0</v>
      </c>
      <c r="L537" t="n">
        <v>100</v>
      </c>
      <c r="M537" t="str">
        <f>IF(AND(I537&gt;=K537,I537&lt;=L537),"Yes","No")</f>
        <v>Yes</v>
      </c>
      <c r="N537" s="34">
        <f>IF(L537=0,"",I537/L537)</f>
        <v>0.75</v>
      </c>
      <c r="O537" s="33" t="n">
        <v>6000</v>
      </c>
      <c r="P537" t="inlineStr">
        <is>
          <t>Gbarnga Health Center</t>
        </is>
      </c>
      <c r="Q537" t="inlineStr">
        <is>
          <t>A. Kollie</t>
        </is>
      </c>
    </row>
    <row r="538">
      <c r="A538" t="inlineStr">
        <is>
          <t>WQ-2026-00535</t>
        </is>
      </c>
      <c r="B538" s="32" t="n">
        <v>46245</v>
      </c>
      <c r="C538" s="33">
        <f>MONTH(B538)</f>
        <v>8</v>
      </c>
      <c r="D538" t="inlineStr">
        <is>
          <t>Bomi</t>
        </is>
      </c>
      <c r="E538" t="inlineStr">
        <is>
          <t>Suehn-Mecca - Health Facility Supply</t>
        </is>
      </c>
      <c r="F538" t="inlineStr">
        <is>
          <t>Health Facility Supply</t>
        </is>
      </c>
      <c r="G538" t="inlineStr">
        <is>
          <t>Water</t>
        </is>
      </c>
      <c r="H538" t="inlineStr">
        <is>
          <t>Nitrate (as NO3)</t>
        </is>
      </c>
      <c r="I538" t="n">
        <v>15.5</v>
      </c>
      <c r="J538" t="inlineStr">
        <is>
          <t>mg/L</t>
        </is>
      </c>
      <c r="K538" t="n">
        <v>0</v>
      </c>
      <c r="L538" t="n">
        <v>10</v>
      </c>
      <c r="M538" t="str">
        <f>IF(AND(I538&gt;=K538,I538&lt;=L538),"Yes","No")</f>
        <v>No</v>
      </c>
      <c r="N538" s="34">
        <f>IF(L538=0,"",I538/L538)</f>
        <v>1.55</v>
      </c>
      <c r="O538" s="33" t="n">
        <v>1800</v>
      </c>
      <c r="P538" t="inlineStr">
        <is>
          <t>Bomi County Health Center</t>
        </is>
      </c>
      <c r="Q538" t="inlineStr">
        <is>
          <t>B. Kpadeh</t>
        </is>
      </c>
    </row>
    <row r="539">
      <c r="A539" t="inlineStr">
        <is>
          <t>SL-2026-00536</t>
        </is>
      </c>
      <c r="B539" s="32" t="n">
        <v>46252</v>
      </c>
      <c r="C539" s="33">
        <f>MONTH(B539)</f>
        <v>8</v>
      </c>
      <c r="D539" t="inlineStr">
        <is>
          <t>Grand Bassa</t>
        </is>
      </c>
      <c r="E539" t="inlineStr">
        <is>
          <t>Edina - Farmland</t>
        </is>
      </c>
      <c r="F539" t="inlineStr">
        <is>
          <t>Farmland</t>
        </is>
      </c>
      <c r="G539" t="inlineStr">
        <is>
          <t>Soil</t>
        </is>
      </c>
      <c r="H539" t="inlineStr">
        <is>
          <t>Mercury</t>
        </is>
      </c>
      <c r="I539" t="n">
        <v>1.3</v>
      </c>
      <c r="J539" t="inlineStr">
        <is>
          <t>mg/kg</t>
        </is>
      </c>
      <c r="K539" t="n">
        <v>0</v>
      </c>
      <c r="L539" t="n">
        <v>1</v>
      </c>
      <c r="M539" t="str">
        <f>IF(AND(I539&gt;=K539,I539&lt;=L539),"Yes","No")</f>
        <v>No</v>
      </c>
      <c r="N539" s="34">
        <f>IF(L539=0,"",I539/L539)</f>
        <v>1.3</v>
      </c>
      <c r="O539" s="33" t="n">
        <v>200</v>
      </c>
      <c r="P539" t="inlineStr">
        <is>
          <t>Buchanan Government Hospital</t>
        </is>
      </c>
      <c r="Q539" t="inlineStr">
        <is>
          <t>E. Sebo</t>
        </is>
      </c>
    </row>
  </sheetData>
  <mergeCells count="2">
    <mergeCell ref="A2:Q2"/>
    <mergeCell ref="A1:Q1"/>
  </mergeCells>
  <conditionalFormatting sqref="M4:M539">
    <cfRule type="cellIs" priority="1" operator="equal" dxfId="0">
      <formula>"No"</formula>
    </cfRule>
  </conditionalFormatting>
  <conditionalFormatting sqref="O4:O539">
    <cfRule type="cellIs" priority="2" operator="greaterThan" dxfId="1">
      <formula>0</formula>
    </cfRule>
  </conditionalFormatting>
  <conditionalFormatting sqref="N4:N539">
    <cfRule type="colorScale" priority="3">
      <colorScale>
        <cfvo type="num" val="0"/>
        <cfvo type="num" val="1"/>
        <cfvo type="num" val="3.5"/>
        <color rgb="00D6EFD8"/>
        <color rgb="00FFE9B0"/>
        <color rgb="00F4A79C"/>
      </colorScale>
    </cfRule>
  </conditionalFormatting>
  <dataValidations count="3">
    <dataValidation sqref="D4:D739" showDropDown="0" showInputMessage="0" showErrorMessage="0" allowBlank="1" error="Pick a county from the Reference sheet." type="list">
      <formula1>CountyList</formula1>
    </dataValidation>
    <dataValidation sqref="G4:G739" showDropDown="0" showInputMessage="0" showErrorMessage="0" allowBlank="1" type="list">
      <formula1>MediumList</formula1>
    </dataValidation>
    <dataValidation sqref="H4:H739" showDropDown="0" showInputMessage="0" showErrorMessage="0" allowBlank="1" type="list">
      <formula1>ParameterList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108"/>
  <sheetViews>
    <sheetView workbookViewId="0">
      <pane ySplit="3" topLeftCell="A4" activePane="bottomLeft" state="frozen"/>
      <selection pane="bottomLeft" activeCell="A1" sqref="A1"/>
    </sheetView>
  </sheetViews>
  <sheetFormatPr baseColWidth="8" defaultRowHeight="15"/>
  <cols>
    <col width="15" customWidth="1" min="1" max="1"/>
    <col width="13" customWidth="1" min="2" max="2"/>
    <col width="7" customWidth="1" min="3" max="3"/>
    <col width="16" customWidth="1" min="4" max="4"/>
    <col width="16" customWidth="1" min="5" max="5"/>
    <col width="27" customWidth="1" min="6" max="6"/>
    <col width="60" customWidth="1" min="7" max="7"/>
    <col width="12" customWidth="1" min="8" max="8"/>
    <col width="11" customWidth="1" min="9" max="9"/>
    <col width="18" customWidth="1" min="10" max="10"/>
    <col width="13" customWidth="1" min="11" max="11"/>
    <col width="12" customWidth="1" min="12" max="12"/>
    <col width="14" customWidth="1" min="13" max="13"/>
    <col width="58" customWidth="1" min="14" max="14"/>
  </cols>
  <sheetData>
    <row r="1" ht="26" customHeight="1">
      <c r="A1" s="29" t="inlineStr">
        <is>
          <t>Environmental Health Complaints</t>
        </is>
      </c>
    </row>
    <row r="2" ht="15" customHeight="1">
      <c r="A2" s="30" t="inlineStr">
        <is>
          <t>One row per complaint. Illness Cases Reported is the health burden the complaint represents; Days to Resolve is calculated from the two date columns.</t>
        </is>
      </c>
    </row>
    <row r="3" ht="30" customHeight="1">
      <c r="A3" s="31" t="inlineStr">
        <is>
          <t>Complaint ID</t>
        </is>
      </c>
      <c r="B3" s="31" t="inlineStr">
        <is>
          <t>Date Received</t>
        </is>
      </c>
      <c r="C3" s="31" t="inlineStr">
        <is>
          <t>Month</t>
        </is>
      </c>
      <c r="D3" s="31" t="inlineStr">
        <is>
          <t>County</t>
        </is>
      </c>
      <c r="E3" s="31" t="inlineStr">
        <is>
          <t>Community</t>
        </is>
      </c>
      <c r="F3" s="31" t="inlineStr">
        <is>
          <t>Complaint Type</t>
        </is>
      </c>
      <c r="G3" s="31" t="inlineStr">
        <is>
          <t>Description</t>
        </is>
      </c>
      <c r="H3" s="31" t="inlineStr">
        <is>
          <t>Illness Cases Reported</t>
        </is>
      </c>
      <c r="I3" s="31" t="inlineStr">
        <is>
          <t>Severity</t>
        </is>
      </c>
      <c r="J3" s="31" t="inlineStr">
        <is>
          <t>Status</t>
        </is>
      </c>
      <c r="K3" s="31" t="inlineStr">
        <is>
          <t>Date Closed</t>
        </is>
      </c>
      <c r="L3" s="31" t="inlineStr">
        <is>
          <t>Days to Resolve</t>
        </is>
      </c>
      <c r="M3" s="31" t="inlineStr">
        <is>
          <t>Linked to Lab Exceedance</t>
        </is>
      </c>
      <c r="N3" s="31" t="inlineStr">
        <is>
          <t>Action Taken</t>
        </is>
      </c>
    </row>
    <row r="4">
      <c r="A4" t="inlineStr">
        <is>
          <t>HC-2026-0001</t>
        </is>
      </c>
      <c r="B4" s="32" t="n">
        <v>46041</v>
      </c>
      <c r="C4" s="33">
        <f>MONTH(B4)</f>
        <v>1</v>
      </c>
      <c r="D4" t="inlineStr">
        <is>
          <t>Nimba</t>
        </is>
      </c>
      <c r="E4" t="inlineStr">
        <is>
          <t>Yekepa</t>
        </is>
      </c>
      <c r="F4" t="inlineStr">
        <is>
          <t>Waste Dumping</t>
        </is>
      </c>
      <c r="G4" t="inlineStr">
        <is>
          <t>Unauthorised dumping of mixed and medical waste on vacant land; scavenging by children reported.</t>
        </is>
      </c>
      <c r="H4" s="33" t="n">
        <v>3</v>
      </c>
      <c r="I4" t="inlineStr">
        <is>
          <t>Medium</t>
        </is>
      </c>
      <c r="J4" t="inlineStr">
        <is>
          <t>Investigating</t>
        </is>
      </c>
      <c r="L4" s="33">
        <f>IF(K4="","",K4-B4)</f>
        <v/>
      </c>
      <c r="M4" t="inlineStr">
        <is>
          <t>No</t>
        </is>
      </c>
      <c r="N4" t="inlineStr">
        <is>
          <t>Dumpsite cleared; warning notice served; monthly surveillance added.</t>
        </is>
      </c>
    </row>
    <row r="5">
      <c r="A5" t="inlineStr">
        <is>
          <t>HC-2026-0002</t>
        </is>
      </c>
      <c r="B5" s="32" t="n">
        <v>46036</v>
      </c>
      <c r="C5" s="33">
        <f>MONTH(B5)</f>
        <v>1</v>
      </c>
      <c r="D5" t="inlineStr">
        <is>
          <t>Nimba</t>
        </is>
      </c>
      <c r="E5" t="inlineStr">
        <is>
          <t>Saclepea</t>
        </is>
      </c>
      <c r="F5" t="inlineStr">
        <is>
          <t>Drinking Water Contamination</t>
        </is>
      </c>
      <c r="G5" t="inlineStr">
        <is>
          <t>Residents report discoloured water with an odour from the public tap stand; suspected faecal contamination after heavy rain.</t>
        </is>
      </c>
      <c r="H5" s="33" t="n">
        <v>18</v>
      </c>
      <c r="I5" t="inlineStr">
        <is>
          <t>High</t>
        </is>
      </c>
      <c r="J5" t="inlineStr">
        <is>
          <t>Received</t>
        </is>
      </c>
      <c r="L5" s="33">
        <f>IF(K5="","",K5-B5)</f>
        <v/>
      </c>
      <c r="M5" t="inlineStr">
        <is>
          <t>Yes</t>
        </is>
      </c>
      <c r="N5" t="inlineStr">
        <is>
          <t>Water point sampled; chlorination advised; community sensitised on boiling.</t>
        </is>
      </c>
    </row>
    <row r="6">
      <c r="A6" t="inlineStr">
        <is>
          <t>HC-2026-0003</t>
        </is>
      </c>
      <c r="B6" s="32" t="n">
        <v>46044</v>
      </c>
      <c r="C6" s="33">
        <f>MONTH(B6)</f>
        <v>1</v>
      </c>
      <c r="D6" t="inlineStr">
        <is>
          <t>Bong</t>
        </is>
      </c>
      <c r="E6" t="inlineStr">
        <is>
          <t>Suakoko</t>
        </is>
      </c>
      <c r="F6" t="inlineStr">
        <is>
          <t>Drinking Water Contamination</t>
        </is>
      </c>
      <c r="G6" t="inlineStr">
        <is>
          <t>Residents report discoloured water with an odour from the public tap stand; suspected faecal contamination after heavy rain.</t>
        </is>
      </c>
      <c r="H6" s="33" t="n">
        <v>12</v>
      </c>
      <c r="I6" t="inlineStr">
        <is>
          <t>High</t>
        </is>
      </c>
      <c r="J6" t="inlineStr">
        <is>
          <t>Closed</t>
        </is>
      </c>
      <c r="K6" s="32" t="n">
        <v>46054</v>
      </c>
      <c r="L6" s="33">
        <f>IF(K6="","",K6-B6)</f>
        <v>10</v>
      </c>
      <c r="M6" t="inlineStr">
        <is>
          <t>Yes</t>
        </is>
      </c>
      <c r="N6" t="inlineStr">
        <is>
          <t>Water point sampled; chlorination advised; community sensitised on boiling.</t>
        </is>
      </c>
    </row>
    <row r="7">
      <c r="A7" t="inlineStr">
        <is>
          <t>HC-2026-0004</t>
        </is>
      </c>
      <c r="B7" s="32" t="n">
        <v>46025</v>
      </c>
      <c r="C7" s="33">
        <f>MONTH(B7)</f>
        <v>1</v>
      </c>
      <c r="D7" t="inlineStr">
        <is>
          <t>Nimba</t>
        </is>
      </c>
      <c r="E7" t="inlineStr">
        <is>
          <t>Butuo</t>
        </is>
      </c>
      <c r="F7" t="inlineStr">
        <is>
          <t>Waste Dumping</t>
        </is>
      </c>
      <c r="G7" t="inlineStr">
        <is>
          <t>Unauthorised dumping of mixed and medical waste on vacant land; scavenging by children reported.</t>
        </is>
      </c>
      <c r="H7" s="33" t="n">
        <v>6</v>
      </c>
      <c r="I7" t="inlineStr">
        <is>
          <t>Medium</t>
        </is>
      </c>
      <c r="J7" t="inlineStr">
        <is>
          <t>Closed</t>
        </is>
      </c>
      <c r="K7" s="32" t="n">
        <v>46055</v>
      </c>
      <c r="L7" s="33">
        <f>IF(K7="","",K7-B7)</f>
        <v>30</v>
      </c>
      <c r="M7" t="inlineStr">
        <is>
          <t>No</t>
        </is>
      </c>
      <c r="N7" t="inlineStr">
        <is>
          <t>Dumpsite cleared; warning notice served; monthly surveillance added.</t>
        </is>
      </c>
    </row>
    <row r="8">
      <c r="A8" t="inlineStr">
        <is>
          <t>HC-2026-0005</t>
        </is>
      </c>
      <c r="B8" s="32" t="n">
        <v>46025</v>
      </c>
      <c r="C8" s="33">
        <f>MONTH(B8)</f>
        <v>1</v>
      </c>
      <c r="D8" t="inlineStr">
        <is>
          <t>Grand Bassa</t>
        </is>
      </c>
      <c r="E8" t="inlineStr">
        <is>
          <t>Buchanan</t>
        </is>
      </c>
      <c r="F8" t="inlineStr">
        <is>
          <t>Air Quality / Smoke &amp; Dust</t>
        </is>
      </c>
      <c r="G8" t="inlineStr">
        <is>
          <t>Dust and smoke from open burning of waste; households report coughing and eye irritation.</t>
        </is>
      </c>
      <c r="H8" s="33" t="n">
        <v>14</v>
      </c>
      <c r="I8" t="inlineStr">
        <is>
          <t>High</t>
        </is>
      </c>
      <c r="J8" t="inlineStr">
        <is>
          <t>Received</t>
        </is>
      </c>
      <c r="L8" s="33">
        <f>IF(K8="","",K8-B8)</f>
        <v/>
      </c>
      <c r="M8" t="inlineStr">
        <is>
          <t>No</t>
        </is>
      </c>
      <c r="N8" t="inlineStr">
        <is>
          <t>Air sampling conducted; operator directed to suppress dust and stop open burning.</t>
        </is>
      </c>
    </row>
    <row r="9">
      <c r="A9" t="inlineStr">
        <is>
          <t>HC-2026-0006</t>
        </is>
      </c>
      <c r="B9" s="32" t="n">
        <v>46051</v>
      </c>
      <c r="C9" s="33">
        <f>MONTH(B9)</f>
        <v>1</v>
      </c>
      <c r="D9" t="inlineStr">
        <is>
          <t>Grand Cape Mount</t>
        </is>
      </c>
      <c r="E9" t="inlineStr">
        <is>
          <t>Sinje</t>
        </is>
      </c>
      <c r="F9" t="inlineStr">
        <is>
          <t>Air Quality / Smoke &amp; Dust</t>
        </is>
      </c>
      <c r="G9" t="inlineStr">
        <is>
          <t>Dust and smoke from charcoal production; households report coughing and eye irritation.</t>
        </is>
      </c>
      <c r="H9" s="33" t="n">
        <v>2</v>
      </c>
      <c r="I9" t="inlineStr">
        <is>
          <t>Low</t>
        </is>
      </c>
      <c r="J9" t="inlineStr">
        <is>
          <t>Closed</t>
        </is>
      </c>
      <c r="K9" s="32" t="n">
        <v>46055</v>
      </c>
      <c r="L9" s="33">
        <f>IF(K9="","",K9-B9)</f>
        <v>4</v>
      </c>
      <c r="M9" t="inlineStr">
        <is>
          <t>No</t>
        </is>
      </c>
      <c r="N9" t="inlineStr">
        <is>
          <t>Air sampling conducted; operator directed to suppress dust and stop open burning.</t>
        </is>
      </c>
    </row>
    <row r="10">
      <c r="A10" t="inlineStr">
        <is>
          <t>HC-2026-0007</t>
        </is>
      </c>
      <c r="B10" s="32" t="n">
        <v>46036</v>
      </c>
      <c r="C10" s="33">
        <f>MONTH(B10)</f>
        <v>1</v>
      </c>
      <c r="D10" t="inlineStr">
        <is>
          <t>Nimba</t>
        </is>
      </c>
      <c r="E10" t="inlineStr">
        <is>
          <t>Ganta</t>
        </is>
      </c>
      <c r="F10" t="inlineStr">
        <is>
          <t>Air Quality / Smoke &amp; Dust</t>
        </is>
      </c>
      <c r="G10" t="inlineStr">
        <is>
          <t>Dust and smoke from unpaved haul road; households report coughing and eye irritation.</t>
        </is>
      </c>
      <c r="H10" s="33" t="n">
        <v>9</v>
      </c>
      <c r="I10" t="inlineStr">
        <is>
          <t>Medium</t>
        </is>
      </c>
      <c r="J10" t="inlineStr">
        <is>
          <t>Investigating</t>
        </is>
      </c>
      <c r="L10" s="33">
        <f>IF(K10="","",K10-B10)</f>
        <v/>
      </c>
      <c r="M10" t="inlineStr">
        <is>
          <t>No</t>
        </is>
      </c>
      <c r="N10" t="inlineStr">
        <is>
          <t>Air sampling conducted; operator directed to suppress dust and stop open burning.</t>
        </is>
      </c>
    </row>
    <row r="11">
      <c r="A11" t="inlineStr">
        <is>
          <t>HC-2026-0008</t>
        </is>
      </c>
      <c r="B11" s="32" t="n">
        <v>46027</v>
      </c>
      <c r="C11" s="33">
        <f>MONTH(B11)</f>
        <v>1</v>
      </c>
      <c r="D11" t="inlineStr">
        <is>
          <t>Lofa</t>
        </is>
      </c>
      <c r="E11" t="inlineStr">
        <is>
          <t>Zorzor</t>
        </is>
      </c>
      <c r="F11" t="inlineStr">
        <is>
          <t>Waste Dumping</t>
        </is>
      </c>
      <c r="G11" t="inlineStr">
        <is>
          <t>Unauthorised dumping of mixed and medical waste on vacant land; scavenging by children reported.</t>
        </is>
      </c>
      <c r="H11" s="33" t="n">
        <v>1</v>
      </c>
      <c r="I11" t="inlineStr">
        <is>
          <t>Low</t>
        </is>
      </c>
      <c r="J11" t="inlineStr">
        <is>
          <t>Investigating</t>
        </is>
      </c>
      <c r="L11" s="33">
        <f>IF(K11="","",K11-B11)</f>
        <v/>
      </c>
      <c r="M11" t="inlineStr">
        <is>
          <t>No</t>
        </is>
      </c>
      <c r="N11" t="inlineStr">
        <is>
          <t>Dumpsite cleared; warning notice served; monthly surveillance added.</t>
        </is>
      </c>
    </row>
    <row r="12">
      <c r="A12" t="inlineStr">
        <is>
          <t>HC-2026-0009</t>
        </is>
      </c>
      <c r="B12" s="32" t="n">
        <v>46042</v>
      </c>
      <c r="C12" s="33">
        <f>MONTH(B12)</f>
        <v>1</v>
      </c>
      <c r="D12" t="inlineStr">
        <is>
          <t>Bong</t>
        </is>
      </c>
      <c r="E12" t="inlineStr">
        <is>
          <t>Totota</t>
        </is>
      </c>
      <c r="F12" t="inlineStr">
        <is>
          <t>Air Quality / Smoke &amp; Dust</t>
        </is>
      </c>
      <c r="G12" t="inlineStr">
        <is>
          <t>Dust and smoke from charcoal production; households report coughing and eye irritation.</t>
        </is>
      </c>
      <c r="H12" s="33" t="n">
        <v>14</v>
      </c>
      <c r="I12" t="inlineStr">
        <is>
          <t>High</t>
        </is>
      </c>
      <c r="J12" t="inlineStr">
        <is>
          <t>Closed</t>
        </is>
      </c>
      <c r="K12" s="32" t="n">
        <v>46061</v>
      </c>
      <c r="L12" s="33">
        <f>IF(K12="","",K12-B12)</f>
        <v>19</v>
      </c>
      <c r="M12" t="inlineStr">
        <is>
          <t>No</t>
        </is>
      </c>
      <c r="N12" t="inlineStr">
        <is>
          <t>Air sampling conducted; operator directed to suppress dust and stop open burning.</t>
        </is>
      </c>
    </row>
    <row r="13">
      <c r="A13" t="inlineStr">
        <is>
          <t>HC-2026-0010</t>
        </is>
      </c>
      <c r="B13" s="32" t="n">
        <v>46029</v>
      </c>
      <c r="C13" s="33">
        <f>MONTH(B13)</f>
        <v>1</v>
      </c>
      <c r="D13" t="inlineStr">
        <is>
          <t>Montserrado</t>
        </is>
      </c>
      <c r="E13" t="inlineStr">
        <is>
          <t>New Kru Town</t>
        </is>
      </c>
      <c r="F13" t="inlineStr">
        <is>
          <t>Waste Dumping</t>
        </is>
      </c>
      <c r="G13" t="inlineStr">
        <is>
          <t>Unauthorised dumping of mixed and medical waste on vacant land; scavenging by children reported.</t>
        </is>
      </c>
      <c r="H13" s="33" t="n">
        <v>3</v>
      </c>
      <c r="I13" t="inlineStr">
        <is>
          <t>Medium</t>
        </is>
      </c>
      <c r="J13" t="inlineStr">
        <is>
          <t>Investigating</t>
        </is>
      </c>
      <c r="L13" s="33">
        <f>IF(K13="","",K13-B13)</f>
        <v/>
      </c>
      <c r="M13" t="inlineStr">
        <is>
          <t>No</t>
        </is>
      </c>
      <c r="N13" t="inlineStr">
        <is>
          <t>Dumpsite cleared; warning notice served; monthly surveillance added.</t>
        </is>
      </c>
    </row>
    <row r="14">
      <c r="A14" t="inlineStr">
        <is>
          <t>HC-2026-0011</t>
        </is>
      </c>
      <c r="B14" s="32" t="n">
        <v>46041</v>
      </c>
      <c r="C14" s="33">
        <f>MONTH(B14)</f>
        <v>1</v>
      </c>
      <c r="D14" t="inlineStr">
        <is>
          <t>Grand Bassa</t>
        </is>
      </c>
      <c r="E14" t="inlineStr">
        <is>
          <t>Edina</t>
        </is>
      </c>
      <c r="F14" t="inlineStr">
        <is>
          <t>Waste Dumping</t>
        </is>
      </c>
      <c r="G14" t="inlineStr">
        <is>
          <t>Unauthorised dumping of mixed and medical waste on vacant land; scavenging by children reported.</t>
        </is>
      </c>
      <c r="H14" s="33" t="n">
        <v>3</v>
      </c>
      <c r="I14" t="inlineStr">
        <is>
          <t>Medium</t>
        </is>
      </c>
      <c r="J14" t="inlineStr">
        <is>
          <t>Closed</t>
        </is>
      </c>
      <c r="K14" s="32" t="n">
        <v>46072</v>
      </c>
      <c r="L14" s="33">
        <f>IF(K14="","",K14-B14)</f>
        <v>31</v>
      </c>
      <c r="M14" t="inlineStr">
        <is>
          <t>No</t>
        </is>
      </c>
      <c r="N14" t="inlineStr">
        <is>
          <t>Dumpsite cleared; warning notice served; monthly surveillance added.</t>
        </is>
      </c>
    </row>
    <row r="15">
      <c r="A15" t="inlineStr">
        <is>
          <t>HC-2026-0012</t>
        </is>
      </c>
      <c r="B15" s="32" t="n">
        <v>46030</v>
      </c>
      <c r="C15" s="33">
        <f>MONTH(B15)</f>
        <v>1</v>
      </c>
      <c r="D15" t="inlineStr">
        <is>
          <t>Montserrado</t>
        </is>
      </c>
      <c r="E15" t="inlineStr">
        <is>
          <t>Caldwell</t>
        </is>
      </c>
      <c r="F15" t="inlineStr">
        <is>
          <t>Air Quality / Smoke &amp; Dust</t>
        </is>
      </c>
      <c r="G15" t="inlineStr">
        <is>
          <t>Dust and smoke from open burning of waste; households report coughing and eye irritation.</t>
        </is>
      </c>
      <c r="H15" s="33" t="n">
        <v>5</v>
      </c>
      <c r="I15" t="inlineStr">
        <is>
          <t>Medium</t>
        </is>
      </c>
      <c r="J15" t="inlineStr">
        <is>
          <t>Findings Presented</t>
        </is>
      </c>
      <c r="L15" s="33">
        <f>IF(K15="","",K15-B15)</f>
        <v/>
      </c>
      <c r="M15" t="inlineStr">
        <is>
          <t>No</t>
        </is>
      </c>
      <c r="N15" t="inlineStr">
        <is>
          <t>Air sampling conducted; operator directed to suppress dust and stop open burning.</t>
        </is>
      </c>
    </row>
    <row r="16">
      <c r="A16" t="inlineStr">
        <is>
          <t>HC-2026-0013</t>
        </is>
      </c>
      <c r="B16" s="32" t="n">
        <v>46037</v>
      </c>
      <c r="C16" s="33">
        <f>MONTH(B16)</f>
        <v>1</v>
      </c>
      <c r="D16" t="inlineStr">
        <is>
          <t>Montserrado</t>
        </is>
      </c>
      <c r="E16" t="inlineStr">
        <is>
          <t>West Point</t>
        </is>
      </c>
      <c r="F16" t="inlineStr">
        <is>
          <t>Sanitation</t>
        </is>
      </c>
      <c r="G16" t="inlineStr">
        <is>
          <t>Overflowing latrine / open defecation near a dwelling; residents report diarrhoeal illness, mostly in children under five.</t>
        </is>
      </c>
      <c r="H16" s="33" t="n">
        <v>3</v>
      </c>
      <c r="I16" t="inlineStr">
        <is>
          <t>Medium</t>
        </is>
      </c>
      <c r="J16" t="inlineStr">
        <is>
          <t>Closed</t>
        </is>
      </c>
      <c r="K16" s="32" t="n">
        <v>46054</v>
      </c>
      <c r="L16" s="33">
        <f>IF(K16="","",K16-B16)</f>
        <v>17</v>
      </c>
      <c r="M16" t="inlineStr">
        <is>
          <t>Yes</t>
        </is>
      </c>
      <c r="N16" t="inlineStr">
        <is>
          <t>Referred to county health team; latrine disinfection and clean-up ordered.</t>
        </is>
      </c>
    </row>
    <row r="17">
      <c r="A17" t="inlineStr">
        <is>
          <t>HC-2026-0014</t>
        </is>
      </c>
      <c r="B17" s="32" t="n">
        <v>46052</v>
      </c>
      <c r="C17" s="33">
        <f>MONTH(B17)</f>
        <v>1</v>
      </c>
      <c r="D17" t="inlineStr">
        <is>
          <t>Bong</t>
        </is>
      </c>
      <c r="E17" t="inlineStr">
        <is>
          <t>Gbarnga</t>
        </is>
      </c>
      <c r="F17" t="inlineStr">
        <is>
          <t>Air Quality / Smoke &amp; Dust</t>
        </is>
      </c>
      <c r="G17" t="inlineStr">
        <is>
          <t>Dust and smoke from charcoal production; households report coughing and eye irritation.</t>
        </is>
      </c>
      <c r="H17" s="33" t="n">
        <v>30</v>
      </c>
      <c r="I17" t="inlineStr">
        <is>
          <t>Critical</t>
        </is>
      </c>
      <c r="J17" t="inlineStr">
        <is>
          <t>Investigating</t>
        </is>
      </c>
      <c r="L17" s="33">
        <f>IF(K17="","",K17-B17)</f>
        <v/>
      </c>
      <c r="M17" t="inlineStr">
        <is>
          <t>No</t>
        </is>
      </c>
      <c r="N17" t="inlineStr">
        <is>
          <t>Air sampling conducted; operator directed to suppress dust and stop open burning.</t>
        </is>
      </c>
    </row>
    <row r="18">
      <c r="A18" t="inlineStr">
        <is>
          <t>HC-2026-0015</t>
        </is>
      </c>
      <c r="B18" s="32" t="n">
        <v>46063</v>
      </c>
      <c r="C18" s="33">
        <f>MONTH(B18)</f>
        <v>2</v>
      </c>
      <c r="D18" t="inlineStr">
        <is>
          <t>Grand Bassa</t>
        </is>
      </c>
      <c r="E18" t="inlineStr">
        <is>
          <t>Edina</t>
        </is>
      </c>
      <c r="F18" t="inlineStr">
        <is>
          <t>Drinking Water Contamination</t>
        </is>
      </c>
      <c r="G18" t="inlineStr">
        <is>
          <t>Residents report discoloured water with an odour from the public tap stand; suspected faecal contamination after heavy rain.</t>
        </is>
      </c>
      <c r="H18" s="33" t="n">
        <v>8</v>
      </c>
      <c r="I18" t="inlineStr">
        <is>
          <t>Medium</t>
        </is>
      </c>
      <c r="J18" t="inlineStr">
        <is>
          <t>Closed</t>
        </is>
      </c>
      <c r="K18" s="32" t="n">
        <v>46082</v>
      </c>
      <c r="L18" s="33">
        <f>IF(K18="","",K18-B18)</f>
        <v>19</v>
      </c>
      <c r="M18" t="inlineStr">
        <is>
          <t>Yes</t>
        </is>
      </c>
      <c r="N18" t="inlineStr">
        <is>
          <t>Water point sampled; chlorination advised; community sensitised on boiling.</t>
        </is>
      </c>
    </row>
    <row r="19">
      <c r="A19" t="inlineStr">
        <is>
          <t>HC-2026-0016</t>
        </is>
      </c>
      <c r="B19" s="32" t="n">
        <v>46055</v>
      </c>
      <c r="C19" s="33">
        <f>MONTH(B19)</f>
        <v>2</v>
      </c>
      <c r="D19" t="inlineStr">
        <is>
          <t>Montserrado</t>
        </is>
      </c>
      <c r="E19" t="inlineStr">
        <is>
          <t>Paynesville</t>
        </is>
      </c>
      <c r="F19" t="inlineStr">
        <is>
          <t>Noise</t>
        </is>
      </c>
      <c r="G19" t="inlineStr">
        <is>
          <t>Continuous low-frequency noise at night from a generator set.</t>
        </is>
      </c>
      <c r="H19" s="33" t="n">
        <v>2</v>
      </c>
      <c r="I19" t="inlineStr">
        <is>
          <t>Low</t>
        </is>
      </c>
      <c r="J19" t="inlineStr">
        <is>
          <t>Closed</t>
        </is>
      </c>
      <c r="K19" s="32" t="n">
        <v>46069</v>
      </c>
      <c r="L19" s="33">
        <f>IF(K19="","",K19-B19)</f>
        <v>14</v>
      </c>
      <c r="M19" t="inlineStr">
        <is>
          <t>No</t>
        </is>
      </c>
      <c r="N19" t="inlineStr">
        <is>
          <t>Noise measurement taken; operator advised on night-time operating hours.</t>
        </is>
      </c>
    </row>
    <row r="20">
      <c r="A20" t="inlineStr">
        <is>
          <t>HC-2026-0017</t>
        </is>
      </c>
      <c r="B20" s="32" t="n">
        <v>46068</v>
      </c>
      <c r="C20" s="33">
        <f>MONTH(B20)</f>
        <v>2</v>
      </c>
      <c r="D20" t="inlineStr">
        <is>
          <t>Margibi</t>
        </is>
      </c>
      <c r="E20" t="inlineStr">
        <is>
          <t>Kakata</t>
        </is>
      </c>
      <c r="F20" t="inlineStr">
        <is>
          <t>Sanitation</t>
        </is>
      </c>
      <c r="G20" t="inlineStr">
        <is>
          <t>Overflowing latrine / open defecation near a dwelling; residents report diarrhoeal illness, mostly in children under five.</t>
        </is>
      </c>
      <c r="H20" s="33" t="n">
        <v>11</v>
      </c>
      <c r="I20" t="inlineStr">
        <is>
          <t>Medium</t>
        </is>
      </c>
      <c r="J20" t="inlineStr">
        <is>
          <t>Received</t>
        </is>
      </c>
      <c r="L20" s="33">
        <f>IF(K20="","",K20-B20)</f>
        <v/>
      </c>
      <c r="M20" t="inlineStr">
        <is>
          <t>Yes</t>
        </is>
      </c>
      <c r="N20" t="inlineStr">
        <is>
          <t>Referred to county health team; latrine disinfection and clean-up ordered.</t>
        </is>
      </c>
    </row>
    <row r="21">
      <c r="A21" t="inlineStr">
        <is>
          <t>HC-2026-0018</t>
        </is>
      </c>
      <c r="B21" s="32" t="n">
        <v>46081</v>
      </c>
      <c r="C21" s="33">
        <f>MONTH(B21)</f>
        <v>2</v>
      </c>
      <c r="D21" t="inlineStr">
        <is>
          <t>Bong</t>
        </is>
      </c>
      <c r="E21" t="inlineStr">
        <is>
          <t>Suakoko</t>
        </is>
      </c>
      <c r="F21" t="inlineStr">
        <is>
          <t>Drinking Water Contamination</t>
        </is>
      </c>
      <c r="G21" t="inlineStr">
        <is>
          <t>Residents report discoloured water with an odour from the public tap stand; suspected faecal contamination after heavy rain.</t>
        </is>
      </c>
      <c r="H21" s="33" t="n">
        <v>62</v>
      </c>
      <c r="I21" t="inlineStr">
        <is>
          <t>Critical</t>
        </is>
      </c>
      <c r="J21" t="inlineStr">
        <is>
          <t>Investigating</t>
        </is>
      </c>
      <c r="L21" s="33">
        <f>IF(K21="","",K21-B21)</f>
        <v/>
      </c>
      <c r="M21" t="inlineStr">
        <is>
          <t>Yes</t>
        </is>
      </c>
      <c r="N21" t="inlineStr">
        <is>
          <t>Water point sampled; chlorination advised; community sensitised on boiling.</t>
        </is>
      </c>
    </row>
    <row r="22">
      <c r="A22" t="inlineStr">
        <is>
          <t>HC-2026-0019</t>
        </is>
      </c>
      <c r="B22" s="32" t="n">
        <v>46080</v>
      </c>
      <c r="C22" s="33">
        <f>MONTH(B22)</f>
        <v>2</v>
      </c>
      <c r="D22" t="inlineStr">
        <is>
          <t>Montserrado</t>
        </is>
      </c>
      <c r="E22" t="inlineStr">
        <is>
          <t>Brewerville</t>
        </is>
      </c>
      <c r="F22" t="inlineStr">
        <is>
          <t>Air Quality / Smoke &amp; Dust</t>
        </is>
      </c>
      <c r="G22" t="inlineStr">
        <is>
          <t>Dust and smoke from clinker handling; households report coughing and eye irritation.</t>
        </is>
      </c>
      <c r="H22" s="33" t="n">
        <v>5</v>
      </c>
      <c r="I22" t="inlineStr">
        <is>
          <t>Medium</t>
        </is>
      </c>
      <c r="J22" t="inlineStr">
        <is>
          <t>Closed</t>
        </is>
      </c>
      <c r="K22" s="32" t="n">
        <v>46101</v>
      </c>
      <c r="L22" s="33">
        <f>IF(K22="","",K22-B22)</f>
        <v>21</v>
      </c>
      <c r="M22" t="inlineStr">
        <is>
          <t>No</t>
        </is>
      </c>
      <c r="N22" t="inlineStr">
        <is>
          <t>Air sampling conducted; operator directed to suppress dust and stop open burning.</t>
        </is>
      </c>
    </row>
    <row r="23">
      <c r="A23" t="inlineStr">
        <is>
          <t>HC-2026-0020</t>
        </is>
      </c>
      <c r="B23" s="32" t="n">
        <v>46068</v>
      </c>
      <c r="C23" s="33">
        <f>MONTH(B23)</f>
        <v>2</v>
      </c>
      <c r="D23" t="inlineStr">
        <is>
          <t>Grand Cape Mount</t>
        </is>
      </c>
      <c r="E23" t="inlineStr">
        <is>
          <t>Tieni</t>
        </is>
      </c>
      <c r="F23" t="inlineStr">
        <is>
          <t>Air Quality / Smoke &amp; Dust</t>
        </is>
      </c>
      <c r="G23" t="inlineStr">
        <is>
          <t>Dust and smoke from open burning of waste; households report coughing and eye irritation.</t>
        </is>
      </c>
      <c r="H23" s="33" t="n">
        <v>14</v>
      </c>
      <c r="I23" t="inlineStr">
        <is>
          <t>High</t>
        </is>
      </c>
      <c r="J23" t="inlineStr">
        <is>
          <t>Closed</t>
        </is>
      </c>
      <c r="K23" s="32" t="n">
        <v>46072</v>
      </c>
      <c r="L23" s="33">
        <f>IF(K23="","",K23-B23)</f>
        <v>4</v>
      </c>
      <c r="M23" t="inlineStr">
        <is>
          <t>No</t>
        </is>
      </c>
      <c r="N23" t="inlineStr">
        <is>
          <t>Air sampling conducted; operator directed to suppress dust and stop open burning.</t>
        </is>
      </c>
    </row>
    <row r="24">
      <c r="A24" t="inlineStr">
        <is>
          <t>HC-2026-0021</t>
        </is>
      </c>
      <c r="B24" s="32" t="n">
        <v>46066</v>
      </c>
      <c r="C24" s="33">
        <f>MONTH(B24)</f>
        <v>2</v>
      </c>
      <c r="D24" t="inlineStr">
        <is>
          <t>Montserrado</t>
        </is>
      </c>
      <c r="E24" t="inlineStr">
        <is>
          <t>Sinkor</t>
        </is>
      </c>
      <c r="F24" t="inlineStr">
        <is>
          <t>Air Quality / Smoke &amp; Dust</t>
        </is>
      </c>
      <c r="G24" t="inlineStr">
        <is>
          <t>Dust and smoke from charcoal production; households report coughing and eye irritation.</t>
        </is>
      </c>
      <c r="H24" s="33" t="n">
        <v>9</v>
      </c>
      <c r="I24" t="inlineStr">
        <is>
          <t>Medium</t>
        </is>
      </c>
      <c r="J24" t="inlineStr">
        <is>
          <t>Investigating</t>
        </is>
      </c>
      <c r="L24" s="33">
        <f>IF(K24="","",K24-B24)</f>
        <v/>
      </c>
      <c r="M24" t="inlineStr">
        <is>
          <t>No</t>
        </is>
      </c>
      <c r="N24" t="inlineStr">
        <is>
          <t>Air sampling conducted; operator directed to suppress dust and stop open burning.</t>
        </is>
      </c>
    </row>
    <row r="25">
      <c r="A25" t="inlineStr">
        <is>
          <t>HC-2026-0022</t>
        </is>
      </c>
      <c r="B25" s="32" t="n">
        <v>46058</v>
      </c>
      <c r="C25" s="33">
        <f>MONTH(B25)</f>
        <v>2</v>
      </c>
      <c r="D25" t="inlineStr">
        <is>
          <t>Montserrado</t>
        </is>
      </c>
      <c r="E25" t="inlineStr">
        <is>
          <t>Brewerville</t>
        </is>
      </c>
      <c r="F25" t="inlineStr">
        <is>
          <t>Air Quality / Smoke &amp; Dust</t>
        </is>
      </c>
      <c r="G25" t="inlineStr">
        <is>
          <t>Dust and smoke from unpaved haul road; households report coughing and eye irritation.</t>
        </is>
      </c>
      <c r="H25" s="33" t="n">
        <v>5</v>
      </c>
      <c r="I25" t="inlineStr">
        <is>
          <t>Medium</t>
        </is>
      </c>
      <c r="J25" t="inlineStr">
        <is>
          <t>Closed</t>
        </is>
      </c>
      <c r="K25" s="32" t="n">
        <v>46078</v>
      </c>
      <c r="L25" s="33">
        <f>IF(K25="","",K25-B25)</f>
        <v>20</v>
      </c>
      <c r="M25" t="inlineStr">
        <is>
          <t>No</t>
        </is>
      </c>
      <c r="N25" t="inlineStr">
        <is>
          <t>Air sampling conducted; operator directed to suppress dust and stop open burning.</t>
        </is>
      </c>
    </row>
    <row r="26">
      <c r="A26" t="inlineStr">
        <is>
          <t>HC-2026-0023</t>
        </is>
      </c>
      <c r="B26" s="32" t="n">
        <v>46055</v>
      </c>
      <c r="C26" s="33">
        <f>MONTH(B26)</f>
        <v>2</v>
      </c>
      <c r="D26" t="inlineStr">
        <is>
          <t>Nimba</t>
        </is>
      </c>
      <c r="E26" t="inlineStr">
        <is>
          <t>Saclepea</t>
        </is>
      </c>
      <c r="F26" t="inlineStr">
        <is>
          <t>Waste Dumping</t>
        </is>
      </c>
      <c r="G26" t="inlineStr">
        <is>
          <t>Unauthorised dumping of mixed and medical waste on vacant land; scavenging by children reported.</t>
        </is>
      </c>
      <c r="H26" s="33" t="n">
        <v>6</v>
      </c>
      <c r="I26" t="inlineStr">
        <is>
          <t>Medium</t>
        </is>
      </c>
      <c r="J26" t="inlineStr">
        <is>
          <t>Closed</t>
        </is>
      </c>
      <c r="K26" s="32" t="n">
        <v>46093</v>
      </c>
      <c r="L26" s="33">
        <f>IF(K26="","",K26-B26)</f>
        <v>38</v>
      </c>
      <c r="M26" t="inlineStr">
        <is>
          <t>No</t>
        </is>
      </c>
      <c r="N26" t="inlineStr">
        <is>
          <t>Dumpsite cleared; warning notice served; monthly surveillance added.</t>
        </is>
      </c>
    </row>
    <row r="27">
      <c r="A27" t="inlineStr">
        <is>
          <t>HC-2026-0024</t>
        </is>
      </c>
      <c r="B27" s="32" t="n">
        <v>46063</v>
      </c>
      <c r="C27" s="33">
        <f>MONTH(B27)</f>
        <v>2</v>
      </c>
      <c r="D27" t="inlineStr">
        <is>
          <t>Margibi</t>
        </is>
      </c>
      <c r="E27" t="inlineStr">
        <is>
          <t>Kakata</t>
        </is>
      </c>
      <c r="F27" t="inlineStr">
        <is>
          <t>Air Quality / Smoke &amp; Dust</t>
        </is>
      </c>
      <c r="G27" t="inlineStr">
        <is>
          <t>Dust and smoke from open burning of waste; households report coughing and eye irritation.</t>
        </is>
      </c>
      <c r="H27" s="33" t="n">
        <v>5</v>
      </c>
      <c r="I27" t="inlineStr">
        <is>
          <t>Medium</t>
        </is>
      </c>
      <c r="J27" t="inlineStr">
        <is>
          <t>Investigating</t>
        </is>
      </c>
      <c r="L27" s="33">
        <f>IF(K27="","",K27-B27)</f>
        <v/>
      </c>
      <c r="M27" t="inlineStr">
        <is>
          <t>No</t>
        </is>
      </c>
      <c r="N27" t="inlineStr">
        <is>
          <t>Air sampling conducted; operator directed to suppress dust and stop open burning.</t>
        </is>
      </c>
    </row>
    <row r="28">
      <c r="A28" t="inlineStr">
        <is>
          <t>HC-2026-0025</t>
        </is>
      </c>
      <c r="B28" s="32" t="n">
        <v>46075</v>
      </c>
      <c r="C28" s="33">
        <f>MONTH(B28)</f>
        <v>2</v>
      </c>
      <c r="D28" t="inlineStr">
        <is>
          <t>Montserrado</t>
        </is>
      </c>
      <c r="E28" t="inlineStr">
        <is>
          <t>West Point</t>
        </is>
      </c>
      <c r="F28" t="inlineStr">
        <is>
          <t>Drinking Water Contamination</t>
        </is>
      </c>
      <c r="G28" t="inlineStr">
        <is>
          <t>Residents report discoloured water with an odour from the community hand pump; suspected faecal contamination after heavy rain.</t>
        </is>
      </c>
      <c r="H28" s="33" t="n">
        <v>12</v>
      </c>
      <c r="I28" t="inlineStr">
        <is>
          <t>High</t>
        </is>
      </c>
      <c r="J28" t="inlineStr">
        <is>
          <t>Received</t>
        </is>
      </c>
      <c r="L28" s="33">
        <f>IF(K28="","",K28-B28)</f>
        <v/>
      </c>
      <c r="M28" t="inlineStr">
        <is>
          <t>Yes</t>
        </is>
      </c>
      <c r="N28" t="inlineStr">
        <is>
          <t>Water point sampled; chlorination advised; community sensitised on boiling.</t>
        </is>
      </c>
    </row>
    <row r="29">
      <c r="A29" t="inlineStr">
        <is>
          <t>HC-2026-0026</t>
        </is>
      </c>
      <c r="B29" s="32" t="n">
        <v>46057</v>
      </c>
      <c r="C29" s="33">
        <f>MONTH(B29)</f>
        <v>2</v>
      </c>
      <c r="D29" t="inlineStr">
        <is>
          <t>Montserrado</t>
        </is>
      </c>
      <c r="E29" t="inlineStr">
        <is>
          <t>Brewerville</t>
        </is>
      </c>
      <c r="F29" t="inlineStr">
        <is>
          <t>Chemical Exposure</t>
        </is>
      </c>
      <c r="G29" t="inlineStr">
        <is>
          <t>Possible chemical exposure reported after handling of unlabelled containers at a nearby facility.</t>
        </is>
      </c>
      <c r="H29" s="33" t="n">
        <v>1</v>
      </c>
      <c r="I29" t="inlineStr">
        <is>
          <t>Low</t>
        </is>
      </c>
      <c r="J29" t="inlineStr">
        <is>
          <t>Findings Presented</t>
        </is>
      </c>
      <c r="L29" s="33">
        <f>IF(K29="","",K29-B29)</f>
        <v/>
      </c>
      <c r="M29" t="inlineStr">
        <is>
          <t>No</t>
        </is>
      </c>
      <c r="N29" t="inlineStr">
        <is>
          <t>Site visited with Chemical Unit; containers secured for inventory audit.</t>
        </is>
      </c>
    </row>
    <row r="30">
      <c r="A30" t="inlineStr">
        <is>
          <t>HC-2026-0027</t>
        </is>
      </c>
      <c r="B30" s="32" t="n">
        <v>46056</v>
      </c>
      <c r="C30" s="33">
        <f>MONTH(B30)</f>
        <v>2</v>
      </c>
      <c r="D30" t="inlineStr">
        <is>
          <t>Montserrado</t>
        </is>
      </c>
      <c r="E30" t="inlineStr">
        <is>
          <t>Caldwell</t>
        </is>
      </c>
      <c r="F30" t="inlineStr">
        <is>
          <t>Waste Dumping</t>
        </is>
      </c>
      <c r="G30" t="inlineStr">
        <is>
          <t>Unauthorised dumping of mixed and medical waste on vacant land; scavenging by children reported.</t>
        </is>
      </c>
      <c r="H30" s="33" t="n">
        <v>0</v>
      </c>
      <c r="I30" t="inlineStr">
        <is>
          <t>Low</t>
        </is>
      </c>
      <c r="J30" t="inlineStr">
        <is>
          <t>Received</t>
        </is>
      </c>
      <c r="L30" s="33">
        <f>IF(K30="","",K30-B30)</f>
        <v/>
      </c>
      <c r="M30" t="inlineStr">
        <is>
          <t>No</t>
        </is>
      </c>
      <c r="N30" t="inlineStr">
        <is>
          <t>Dumpsite cleared; warning notice served; monthly surveillance added.</t>
        </is>
      </c>
    </row>
    <row r="31">
      <c r="A31" t="inlineStr">
        <is>
          <t>HC-2026-0028</t>
        </is>
      </c>
      <c r="B31" s="32" t="n">
        <v>46068</v>
      </c>
      <c r="C31" s="33">
        <f>MONTH(B31)</f>
        <v>2</v>
      </c>
      <c r="D31" t="inlineStr">
        <is>
          <t>Montserrado</t>
        </is>
      </c>
      <c r="E31" t="inlineStr">
        <is>
          <t>West Point</t>
        </is>
      </c>
      <c r="F31" t="inlineStr">
        <is>
          <t>Air Quality / Smoke &amp; Dust</t>
        </is>
      </c>
      <c r="G31" t="inlineStr">
        <is>
          <t>Dust and smoke from open burning of waste; households report coughing and eye irritation.</t>
        </is>
      </c>
      <c r="H31" s="33" t="n">
        <v>2</v>
      </c>
      <c r="I31" t="inlineStr">
        <is>
          <t>Low</t>
        </is>
      </c>
      <c r="J31" t="inlineStr">
        <is>
          <t>Findings Presented</t>
        </is>
      </c>
      <c r="L31" s="33">
        <f>IF(K31="","",K31-B31)</f>
        <v/>
      </c>
      <c r="M31" t="inlineStr">
        <is>
          <t>No</t>
        </is>
      </c>
      <c r="N31" t="inlineStr">
        <is>
          <t>Air sampling conducted; operator directed to suppress dust and stop open burning.</t>
        </is>
      </c>
    </row>
    <row r="32">
      <c r="A32" t="inlineStr">
        <is>
          <t>HC-2026-0029</t>
        </is>
      </c>
      <c r="B32" s="32" t="n">
        <v>46074</v>
      </c>
      <c r="C32" s="33">
        <f>MONTH(B32)</f>
        <v>2</v>
      </c>
      <c r="D32" t="inlineStr">
        <is>
          <t>Margibi</t>
        </is>
      </c>
      <c r="E32" t="inlineStr">
        <is>
          <t>Firestone</t>
        </is>
      </c>
      <c r="F32" t="inlineStr">
        <is>
          <t>Drinking Water Contamination</t>
        </is>
      </c>
      <c r="G32" t="inlineStr">
        <is>
          <t>Residents report discoloured water with an odour from the community hand pump; suspected faecal contamination after heavy rain.</t>
        </is>
      </c>
      <c r="H32" s="33" t="n">
        <v>47</v>
      </c>
      <c r="I32" t="inlineStr">
        <is>
          <t>Critical</t>
        </is>
      </c>
      <c r="J32" t="inlineStr">
        <is>
          <t>Closed</t>
        </is>
      </c>
      <c r="K32" s="32" t="n">
        <v>46084</v>
      </c>
      <c r="L32" s="33">
        <f>IF(K32="","",K32-B32)</f>
        <v>10</v>
      </c>
      <c r="M32" t="inlineStr">
        <is>
          <t>Yes</t>
        </is>
      </c>
      <c r="N32" t="inlineStr">
        <is>
          <t>Water point sampled; chlorination advised; community sensitised on boiling.</t>
        </is>
      </c>
    </row>
    <row r="33">
      <c r="A33" t="inlineStr">
        <is>
          <t>HC-2026-0030</t>
        </is>
      </c>
      <c r="B33" s="32" t="n">
        <v>46091</v>
      </c>
      <c r="C33" s="33">
        <f>MONTH(B33)</f>
        <v>3</v>
      </c>
      <c r="D33" t="inlineStr">
        <is>
          <t>Grand Bassa</t>
        </is>
      </c>
      <c r="E33" t="inlineStr">
        <is>
          <t>Buchanan</t>
        </is>
      </c>
      <c r="F33" t="inlineStr">
        <is>
          <t>Sanitation</t>
        </is>
      </c>
      <c r="G33" t="inlineStr">
        <is>
          <t>Overflowing latrine / open defecation near a dwelling; residents report diarrhoeal illness, mostly in children under five.</t>
        </is>
      </c>
      <c r="H33" s="33" t="n">
        <v>6</v>
      </c>
      <c r="I33" t="inlineStr">
        <is>
          <t>Medium</t>
        </is>
      </c>
      <c r="J33" t="inlineStr">
        <is>
          <t>Closed</t>
        </is>
      </c>
      <c r="K33" s="32" t="n">
        <v>46109</v>
      </c>
      <c r="L33" s="33">
        <f>IF(K33="","",K33-B33)</f>
        <v>18</v>
      </c>
      <c r="M33" t="inlineStr">
        <is>
          <t>Yes</t>
        </is>
      </c>
      <c r="N33" t="inlineStr">
        <is>
          <t>Referred to county health team; latrine disinfection and clean-up ordered.</t>
        </is>
      </c>
    </row>
    <row r="34">
      <c r="A34" t="inlineStr">
        <is>
          <t>HC-2026-0031</t>
        </is>
      </c>
      <c r="B34" s="32" t="n">
        <v>46112</v>
      </c>
      <c r="C34" s="33">
        <f>MONTH(B34)</f>
        <v>3</v>
      </c>
      <c r="D34" t="inlineStr">
        <is>
          <t>Montserrado</t>
        </is>
      </c>
      <c r="E34" t="inlineStr">
        <is>
          <t>West Point</t>
        </is>
      </c>
      <c r="F34" t="inlineStr">
        <is>
          <t>Sanitation</t>
        </is>
      </c>
      <c r="G34" t="inlineStr">
        <is>
          <t>Overflowing latrine / open defecation near a dwelling; residents report diarrhoeal illness, mostly in children under five.</t>
        </is>
      </c>
      <c r="H34" s="33" t="n">
        <v>24</v>
      </c>
      <c r="I34" t="inlineStr">
        <is>
          <t>High</t>
        </is>
      </c>
      <c r="J34" t="inlineStr">
        <is>
          <t>Closed</t>
        </is>
      </c>
      <c r="K34" s="32" t="n">
        <v>46121</v>
      </c>
      <c r="L34" s="33">
        <f>IF(K34="","",K34-B34)</f>
        <v>9</v>
      </c>
      <c r="M34" t="inlineStr">
        <is>
          <t>Yes</t>
        </is>
      </c>
      <c r="N34" t="inlineStr">
        <is>
          <t>Referred to county health team; latrine disinfection and clean-up ordered.</t>
        </is>
      </c>
    </row>
    <row r="35">
      <c r="A35" t="inlineStr">
        <is>
          <t>HC-2026-0032</t>
        </is>
      </c>
      <c r="B35" s="32" t="n">
        <v>46085</v>
      </c>
      <c r="C35" s="33">
        <f>MONTH(B35)</f>
        <v>3</v>
      </c>
      <c r="D35" t="inlineStr">
        <is>
          <t>Nimba</t>
        </is>
      </c>
      <c r="E35" t="inlineStr">
        <is>
          <t>Saclepea</t>
        </is>
      </c>
      <c r="F35" t="inlineStr">
        <is>
          <t>Air Quality / Smoke &amp; Dust</t>
        </is>
      </c>
      <c r="G35" t="inlineStr">
        <is>
          <t>Dust and smoke from open burning of waste; households report coughing and eye irritation.</t>
        </is>
      </c>
      <c r="H35" s="33" t="n">
        <v>5</v>
      </c>
      <c r="I35" t="inlineStr">
        <is>
          <t>Medium</t>
        </is>
      </c>
      <c r="J35" t="inlineStr">
        <is>
          <t>Closed</t>
        </is>
      </c>
      <c r="K35" s="32" t="n">
        <v>46105</v>
      </c>
      <c r="L35" s="33">
        <f>IF(K35="","",K35-B35)</f>
        <v>20</v>
      </c>
      <c r="M35" t="inlineStr">
        <is>
          <t>No</t>
        </is>
      </c>
      <c r="N35" t="inlineStr">
        <is>
          <t>Air sampling conducted; operator directed to suppress dust and stop open burning.</t>
        </is>
      </c>
    </row>
    <row r="36">
      <c r="A36" t="inlineStr">
        <is>
          <t>HC-2026-0033</t>
        </is>
      </c>
      <c r="B36" s="32" t="n">
        <v>46085</v>
      </c>
      <c r="C36" s="33">
        <f>MONTH(B36)</f>
        <v>3</v>
      </c>
      <c r="D36" t="inlineStr">
        <is>
          <t>Montserrado</t>
        </is>
      </c>
      <c r="E36" t="inlineStr">
        <is>
          <t>New Kru Town</t>
        </is>
      </c>
      <c r="F36" t="inlineStr">
        <is>
          <t>Sanitation</t>
        </is>
      </c>
      <c r="G36" t="inlineStr">
        <is>
          <t>Overflowing latrine / open defecation near a dwelling; residents report diarrhoeal illness, mostly in children under five.</t>
        </is>
      </c>
      <c r="H36" s="33" t="n">
        <v>6</v>
      </c>
      <c r="I36" t="inlineStr">
        <is>
          <t>Medium</t>
        </is>
      </c>
      <c r="J36" t="inlineStr">
        <is>
          <t>Closed</t>
        </is>
      </c>
      <c r="K36" s="32" t="n">
        <v>46108</v>
      </c>
      <c r="L36" s="33">
        <f>IF(K36="","",K36-B36)</f>
        <v>23</v>
      </c>
      <c r="M36" t="inlineStr">
        <is>
          <t>Yes</t>
        </is>
      </c>
      <c r="N36" t="inlineStr">
        <is>
          <t>Referred to county health team; latrine disinfection and clean-up ordered.</t>
        </is>
      </c>
    </row>
    <row r="37">
      <c r="A37" t="inlineStr">
        <is>
          <t>HC-2026-0034</t>
        </is>
      </c>
      <c r="B37" s="32" t="n">
        <v>46107</v>
      </c>
      <c r="C37" s="33">
        <f>MONTH(B37)</f>
        <v>3</v>
      </c>
      <c r="D37" t="inlineStr">
        <is>
          <t>Sinoe</t>
        </is>
      </c>
      <c r="E37" t="inlineStr">
        <is>
          <t>Greenville</t>
        </is>
      </c>
      <c r="F37" t="inlineStr">
        <is>
          <t>Noise</t>
        </is>
      </c>
      <c r="G37" t="inlineStr">
        <is>
          <t>Continuous low-frequency noise at night from night-time haulage.</t>
        </is>
      </c>
      <c r="H37" s="33" t="n">
        <v>2</v>
      </c>
      <c r="I37" t="inlineStr">
        <is>
          <t>Low</t>
        </is>
      </c>
      <c r="J37" t="inlineStr">
        <is>
          <t>Findings Presented</t>
        </is>
      </c>
      <c r="L37" s="33">
        <f>IF(K37="","",K37-B37)</f>
        <v/>
      </c>
      <c r="M37" t="inlineStr">
        <is>
          <t>No</t>
        </is>
      </c>
      <c r="N37" t="inlineStr">
        <is>
          <t>Noise measurement taken; operator advised on night-time operating hours.</t>
        </is>
      </c>
    </row>
    <row r="38">
      <c r="A38" t="inlineStr">
        <is>
          <t>HC-2026-0035</t>
        </is>
      </c>
      <c r="B38" s="32" t="n">
        <v>46085</v>
      </c>
      <c r="C38" s="33">
        <f>MONTH(B38)</f>
        <v>3</v>
      </c>
      <c r="D38" t="inlineStr">
        <is>
          <t>Nimba</t>
        </is>
      </c>
      <c r="E38" t="inlineStr">
        <is>
          <t>Butuo</t>
        </is>
      </c>
      <c r="F38" t="inlineStr">
        <is>
          <t>Chemical Exposure</t>
        </is>
      </c>
      <c r="G38" t="inlineStr">
        <is>
          <t>Possible chemical exposure reported after handling of unlabelled containers at a nearby facility.</t>
        </is>
      </c>
      <c r="H38" s="33" t="n">
        <v>9</v>
      </c>
      <c r="I38" t="inlineStr">
        <is>
          <t>Medium</t>
        </is>
      </c>
      <c r="J38" t="inlineStr">
        <is>
          <t>Received</t>
        </is>
      </c>
      <c r="L38" s="33">
        <f>IF(K38="","",K38-B38)</f>
        <v/>
      </c>
      <c r="M38" t="inlineStr">
        <is>
          <t>No</t>
        </is>
      </c>
      <c r="N38" t="inlineStr">
        <is>
          <t>Site visited with Chemical Unit; containers secured for inventory audit.</t>
        </is>
      </c>
    </row>
    <row r="39">
      <c r="A39" t="inlineStr">
        <is>
          <t>HC-2026-0036</t>
        </is>
      </c>
      <c r="B39" s="32" t="n">
        <v>46094</v>
      </c>
      <c r="C39" s="33">
        <f>MONTH(B39)</f>
        <v>3</v>
      </c>
      <c r="D39" t="inlineStr">
        <is>
          <t>Montserrado</t>
        </is>
      </c>
      <c r="E39" t="inlineStr">
        <is>
          <t>Johnsonville</t>
        </is>
      </c>
      <c r="F39" t="inlineStr">
        <is>
          <t>Air Quality / Smoke &amp; Dust</t>
        </is>
      </c>
      <c r="G39" t="inlineStr">
        <is>
          <t>Dust and smoke from open burning of waste; households report coughing and eye irritation.</t>
        </is>
      </c>
      <c r="H39" s="33" t="n">
        <v>14</v>
      </c>
      <c r="I39" t="inlineStr">
        <is>
          <t>High</t>
        </is>
      </c>
      <c r="J39" t="inlineStr">
        <is>
          <t>Received</t>
        </is>
      </c>
      <c r="L39" s="33">
        <f>IF(K39="","",K39-B39)</f>
        <v/>
      </c>
      <c r="M39" t="inlineStr">
        <is>
          <t>No</t>
        </is>
      </c>
      <c r="N39" t="inlineStr">
        <is>
          <t>Air sampling conducted; operator directed to suppress dust and stop open burning.</t>
        </is>
      </c>
    </row>
    <row r="40">
      <c r="A40" t="inlineStr">
        <is>
          <t>HC-2026-0037</t>
        </is>
      </c>
      <c r="B40" s="32" t="n">
        <v>46085</v>
      </c>
      <c r="C40" s="33">
        <f>MONTH(B40)</f>
        <v>3</v>
      </c>
      <c r="D40" t="inlineStr">
        <is>
          <t>Grand Cape Mount</t>
        </is>
      </c>
      <c r="E40" t="inlineStr">
        <is>
          <t>Tieni</t>
        </is>
      </c>
      <c r="F40" t="inlineStr">
        <is>
          <t>Drinking Water Contamination</t>
        </is>
      </c>
      <c r="G40" t="inlineStr">
        <is>
          <t>Residents report discoloured water with an odour from the community hand pump; suspected faecal contamination after heavy rain.</t>
        </is>
      </c>
      <c r="H40" s="33" t="n">
        <v>34</v>
      </c>
      <c r="I40" t="inlineStr">
        <is>
          <t>Critical</t>
        </is>
      </c>
      <c r="J40" t="inlineStr">
        <is>
          <t>Investigating</t>
        </is>
      </c>
      <c r="L40" s="33">
        <f>IF(K40="","",K40-B40)</f>
        <v/>
      </c>
      <c r="M40" t="inlineStr">
        <is>
          <t>Yes</t>
        </is>
      </c>
      <c r="N40" t="inlineStr">
        <is>
          <t>Water point sampled; chlorination advised; community sensitised on boiling.</t>
        </is>
      </c>
    </row>
    <row r="41">
      <c r="A41" t="inlineStr">
        <is>
          <t>HC-2026-0038</t>
        </is>
      </c>
      <c r="B41" s="32" t="n">
        <v>46108</v>
      </c>
      <c r="C41" s="33">
        <f>MONTH(B41)</f>
        <v>3</v>
      </c>
      <c r="D41" t="inlineStr">
        <is>
          <t>Nimba</t>
        </is>
      </c>
      <c r="E41" t="inlineStr">
        <is>
          <t>Tappita</t>
        </is>
      </c>
      <c r="F41" t="inlineStr">
        <is>
          <t>Drinking Water Contamination</t>
        </is>
      </c>
      <c r="G41" t="inlineStr">
        <is>
          <t>Residents report discoloured water with an odour from the public tap stand; suspected faecal contamination after heavy rain.</t>
        </is>
      </c>
      <c r="H41" s="33" t="n">
        <v>8</v>
      </c>
      <c r="I41" t="inlineStr">
        <is>
          <t>Medium</t>
        </is>
      </c>
      <c r="J41" t="inlineStr">
        <is>
          <t>Received</t>
        </is>
      </c>
      <c r="L41" s="33">
        <f>IF(K41="","",K41-B41)</f>
        <v/>
      </c>
      <c r="M41" t="inlineStr">
        <is>
          <t>Yes</t>
        </is>
      </c>
      <c r="N41" t="inlineStr">
        <is>
          <t>Water point sampled; chlorination advised; community sensitised on boiling.</t>
        </is>
      </c>
    </row>
    <row r="42">
      <c r="A42" t="inlineStr">
        <is>
          <t>HC-2026-0039</t>
        </is>
      </c>
      <c r="B42" s="32" t="n">
        <v>46107</v>
      </c>
      <c r="C42" s="33">
        <f>MONTH(B42)</f>
        <v>3</v>
      </c>
      <c r="D42" t="inlineStr">
        <is>
          <t>Sinoe</t>
        </is>
      </c>
      <c r="E42" t="inlineStr">
        <is>
          <t>Butaw</t>
        </is>
      </c>
      <c r="F42" t="inlineStr">
        <is>
          <t>Waste Dumping</t>
        </is>
      </c>
      <c r="G42" t="inlineStr">
        <is>
          <t>Unauthorised dumping of mixed and medical waste on vacant land; scavenging by children reported.</t>
        </is>
      </c>
      <c r="H42" s="33" t="n">
        <v>0</v>
      </c>
      <c r="I42" t="inlineStr">
        <is>
          <t>Low</t>
        </is>
      </c>
      <c r="J42" t="inlineStr">
        <is>
          <t>Investigating</t>
        </is>
      </c>
      <c r="L42" s="33">
        <f>IF(K42="","",K42-B42)</f>
        <v/>
      </c>
      <c r="M42" t="inlineStr">
        <is>
          <t>No</t>
        </is>
      </c>
      <c r="N42" t="inlineStr">
        <is>
          <t>Dumpsite cleared; warning notice served; monthly surveillance added.</t>
        </is>
      </c>
    </row>
    <row r="43">
      <c r="A43" t="inlineStr">
        <is>
          <t>HC-2026-0040</t>
        </is>
      </c>
      <c r="B43" s="32" t="n">
        <v>46107</v>
      </c>
      <c r="C43" s="33">
        <f>MONTH(B43)</f>
        <v>3</v>
      </c>
      <c r="D43" t="inlineStr">
        <is>
          <t>Grand Bassa</t>
        </is>
      </c>
      <c r="E43" t="inlineStr">
        <is>
          <t>St. John River</t>
        </is>
      </c>
      <c r="F43" t="inlineStr">
        <is>
          <t>Air Quality / Smoke &amp; Dust</t>
        </is>
      </c>
      <c r="G43" t="inlineStr">
        <is>
          <t>Dust and smoke from unpaved haul road; households report coughing and eye irritation.</t>
        </is>
      </c>
      <c r="H43" s="33" t="n">
        <v>0</v>
      </c>
      <c r="I43" t="inlineStr">
        <is>
          <t>Low</t>
        </is>
      </c>
      <c r="J43" t="inlineStr">
        <is>
          <t>Closed</t>
        </is>
      </c>
      <c r="K43" s="32" t="n">
        <v>46127</v>
      </c>
      <c r="L43" s="33">
        <f>IF(K43="","",K43-B43)</f>
        <v>20</v>
      </c>
      <c r="M43" t="inlineStr">
        <is>
          <t>No</t>
        </is>
      </c>
      <c r="N43" t="inlineStr">
        <is>
          <t>Air sampling conducted; operator directed to suppress dust and stop open burning.</t>
        </is>
      </c>
    </row>
    <row r="44">
      <c r="A44" t="inlineStr">
        <is>
          <t>HC-2026-0041</t>
        </is>
      </c>
      <c r="B44" s="32" t="n">
        <v>46098</v>
      </c>
      <c r="C44" s="33">
        <f>MONTH(B44)</f>
        <v>3</v>
      </c>
      <c r="D44" t="inlineStr">
        <is>
          <t>Montserrado</t>
        </is>
      </c>
      <c r="E44" t="inlineStr">
        <is>
          <t>West Point</t>
        </is>
      </c>
      <c r="F44" t="inlineStr">
        <is>
          <t>Sanitation</t>
        </is>
      </c>
      <c r="G44" t="inlineStr">
        <is>
          <t>Overflowing latrine / open defecation near a dwelling; residents report diarrhoeal illness, mostly in children under five.</t>
        </is>
      </c>
      <c r="H44" s="33" t="n">
        <v>11</v>
      </c>
      <c r="I44" t="inlineStr">
        <is>
          <t>Medium</t>
        </is>
      </c>
      <c r="J44" t="inlineStr">
        <is>
          <t>Findings Presented</t>
        </is>
      </c>
      <c r="L44" s="33">
        <f>IF(K44="","",K44-B44)</f>
        <v/>
      </c>
      <c r="M44" t="inlineStr">
        <is>
          <t>Yes</t>
        </is>
      </c>
      <c r="N44" t="inlineStr">
        <is>
          <t>Referred to county health team; latrine disinfection and clean-up ordered.</t>
        </is>
      </c>
    </row>
    <row r="45">
      <c r="A45" t="inlineStr">
        <is>
          <t>HC-2026-0042</t>
        </is>
      </c>
      <c r="B45" s="32" t="n">
        <v>46093</v>
      </c>
      <c r="C45" s="33">
        <f>MONTH(B45)</f>
        <v>3</v>
      </c>
      <c r="D45" t="inlineStr">
        <is>
          <t>Grand Bassa</t>
        </is>
      </c>
      <c r="E45" t="inlineStr">
        <is>
          <t>Buchanan</t>
        </is>
      </c>
      <c r="F45" t="inlineStr">
        <is>
          <t>Drinking Water Contamination</t>
        </is>
      </c>
      <c r="G45" t="inlineStr">
        <is>
          <t>Residents report discoloured water with an odour from the community hand pump; suspected faecal contamination after heavy rain.</t>
        </is>
      </c>
      <c r="H45" s="33" t="n">
        <v>18</v>
      </c>
      <c r="I45" t="inlineStr">
        <is>
          <t>High</t>
        </is>
      </c>
      <c r="J45" t="inlineStr">
        <is>
          <t>Closed</t>
        </is>
      </c>
      <c r="K45" s="32" t="n">
        <v>46110</v>
      </c>
      <c r="L45" s="33">
        <f>IF(K45="","",K45-B45)</f>
        <v>17</v>
      </c>
      <c r="M45" t="inlineStr">
        <is>
          <t>Yes</t>
        </is>
      </c>
      <c r="N45" t="inlineStr">
        <is>
          <t>Water point sampled; chlorination advised; community sensitised on boiling.</t>
        </is>
      </c>
    </row>
    <row r="46">
      <c r="A46" t="inlineStr">
        <is>
          <t>HC-2026-0043</t>
        </is>
      </c>
      <c r="B46" s="32" t="n">
        <v>46134</v>
      </c>
      <c r="C46" s="33">
        <f>MONTH(B46)</f>
        <v>4</v>
      </c>
      <c r="D46" t="inlineStr">
        <is>
          <t>Margibi</t>
        </is>
      </c>
      <c r="E46" t="inlineStr">
        <is>
          <t>Weala</t>
        </is>
      </c>
      <c r="F46" t="inlineStr">
        <is>
          <t>Drinking Water Contamination</t>
        </is>
      </c>
      <c r="G46" t="inlineStr">
        <is>
          <t>Residents report discoloured water with an odour from the public tap stand; suspected faecal contamination after heavy rain.</t>
        </is>
      </c>
      <c r="H46" s="33" t="n">
        <v>47</v>
      </c>
      <c r="I46" t="inlineStr">
        <is>
          <t>Critical</t>
        </is>
      </c>
      <c r="J46" t="inlineStr">
        <is>
          <t>Closed</t>
        </is>
      </c>
      <c r="K46" s="32" t="n">
        <v>46142</v>
      </c>
      <c r="L46" s="33">
        <f>IF(K46="","",K46-B46)</f>
        <v>8</v>
      </c>
      <c r="M46" t="inlineStr">
        <is>
          <t>Yes</t>
        </is>
      </c>
      <c r="N46" t="inlineStr">
        <is>
          <t>Water point sampled; chlorination advised; community sensitised on boiling.</t>
        </is>
      </c>
    </row>
    <row r="47">
      <c r="A47" t="inlineStr">
        <is>
          <t>HC-2026-0044</t>
        </is>
      </c>
      <c r="B47" s="32" t="n">
        <v>46114</v>
      </c>
      <c r="C47" s="33">
        <f>MONTH(B47)</f>
        <v>4</v>
      </c>
      <c r="D47" t="inlineStr">
        <is>
          <t>Montserrado</t>
        </is>
      </c>
      <c r="E47" t="inlineStr">
        <is>
          <t>Brewerville</t>
        </is>
      </c>
      <c r="F47" t="inlineStr">
        <is>
          <t>Waste Dumping</t>
        </is>
      </c>
      <c r="G47" t="inlineStr">
        <is>
          <t>Unauthorised dumping of mixed and medical waste on vacant land; scavenging by children reported.</t>
        </is>
      </c>
      <c r="H47" s="33" t="n">
        <v>6</v>
      </c>
      <c r="I47" t="inlineStr">
        <is>
          <t>Medium</t>
        </is>
      </c>
      <c r="J47" t="inlineStr">
        <is>
          <t>Closed</t>
        </is>
      </c>
      <c r="K47" s="32" t="n">
        <v>46147</v>
      </c>
      <c r="L47" s="33">
        <f>IF(K47="","",K47-B47)</f>
        <v>33</v>
      </c>
      <c r="M47" t="inlineStr">
        <is>
          <t>No</t>
        </is>
      </c>
      <c r="N47" t="inlineStr">
        <is>
          <t>Dumpsite cleared; warning notice served; monthly surveillance added.</t>
        </is>
      </c>
    </row>
    <row r="48">
      <c r="A48" t="inlineStr">
        <is>
          <t>HC-2026-0045</t>
        </is>
      </c>
      <c r="B48" s="32" t="n">
        <v>46133</v>
      </c>
      <c r="C48" s="33">
        <f>MONTH(B48)</f>
        <v>4</v>
      </c>
      <c r="D48" t="inlineStr">
        <is>
          <t>Grand Gedeh</t>
        </is>
      </c>
      <c r="E48" t="inlineStr">
        <is>
          <t>B'hai</t>
        </is>
      </c>
      <c r="F48" t="inlineStr">
        <is>
          <t>Chemical Exposure</t>
        </is>
      </c>
      <c r="G48" t="inlineStr">
        <is>
          <t>Possible chemical exposure reported after handling of unlabelled containers at a nearby facility.</t>
        </is>
      </c>
      <c r="H48" s="33" t="n">
        <v>4</v>
      </c>
      <c r="I48" t="inlineStr">
        <is>
          <t>Medium</t>
        </is>
      </c>
      <c r="J48" t="inlineStr">
        <is>
          <t>Closed</t>
        </is>
      </c>
      <c r="K48" s="32" t="n">
        <v>46164</v>
      </c>
      <c r="L48" s="33">
        <f>IF(K48="","",K48-B48)</f>
        <v>31</v>
      </c>
      <c r="M48" t="inlineStr">
        <is>
          <t>No</t>
        </is>
      </c>
      <c r="N48" t="inlineStr">
        <is>
          <t>Site visited with Chemical Unit; containers secured for inventory audit.</t>
        </is>
      </c>
    </row>
    <row r="49">
      <c r="A49" t="inlineStr">
        <is>
          <t>HC-2026-0046</t>
        </is>
      </c>
      <c r="B49" s="32" t="n">
        <v>46135</v>
      </c>
      <c r="C49" s="33">
        <f>MONTH(B49)</f>
        <v>4</v>
      </c>
      <c r="D49" t="inlineStr">
        <is>
          <t>Nimba</t>
        </is>
      </c>
      <c r="E49" t="inlineStr">
        <is>
          <t>Tappita</t>
        </is>
      </c>
      <c r="F49" t="inlineStr">
        <is>
          <t>Noise</t>
        </is>
      </c>
      <c r="G49" t="inlineStr">
        <is>
          <t>Continuous low-frequency noise at night from a generator set.</t>
        </is>
      </c>
      <c r="H49" s="33" t="n">
        <v>2</v>
      </c>
      <c r="I49" t="inlineStr">
        <is>
          <t>Low</t>
        </is>
      </c>
      <c r="J49" t="inlineStr">
        <is>
          <t>Closed</t>
        </is>
      </c>
      <c r="K49" s="32" t="n">
        <v>46147</v>
      </c>
      <c r="L49" s="33">
        <f>IF(K49="","",K49-B49)</f>
        <v>12</v>
      </c>
      <c r="M49" t="inlineStr">
        <is>
          <t>No</t>
        </is>
      </c>
      <c r="N49" t="inlineStr">
        <is>
          <t>Noise measurement taken; operator advised on night-time operating hours.</t>
        </is>
      </c>
    </row>
    <row r="50">
      <c r="A50" t="inlineStr">
        <is>
          <t>HC-2026-0047</t>
        </is>
      </c>
      <c r="B50" s="32" t="n">
        <v>46135</v>
      </c>
      <c r="C50" s="33">
        <f>MONTH(B50)</f>
        <v>4</v>
      </c>
      <c r="D50" t="inlineStr">
        <is>
          <t>Lofa</t>
        </is>
      </c>
      <c r="E50" t="inlineStr">
        <is>
          <t>Kolahun</t>
        </is>
      </c>
      <c r="F50" t="inlineStr">
        <is>
          <t>Chemical Exposure</t>
        </is>
      </c>
      <c r="G50" t="inlineStr">
        <is>
          <t>Possible chemical exposure reported after handling of unlabelled containers at a nearby facility.</t>
        </is>
      </c>
      <c r="H50" s="33" t="n">
        <v>2</v>
      </c>
      <c r="I50" t="inlineStr">
        <is>
          <t>Low</t>
        </is>
      </c>
      <c r="J50" t="inlineStr">
        <is>
          <t>Closed</t>
        </is>
      </c>
      <c r="K50" s="32" t="n">
        <v>46166</v>
      </c>
      <c r="L50" s="33">
        <f>IF(K50="","",K50-B50)</f>
        <v>31</v>
      </c>
      <c r="M50" t="inlineStr">
        <is>
          <t>No</t>
        </is>
      </c>
      <c r="N50" t="inlineStr">
        <is>
          <t>Site visited with Chemical Unit; containers secured for inventory audit.</t>
        </is>
      </c>
    </row>
    <row r="51">
      <c r="A51" t="inlineStr">
        <is>
          <t>HC-2026-0048</t>
        </is>
      </c>
      <c r="B51" s="32" t="n">
        <v>46135</v>
      </c>
      <c r="C51" s="33">
        <f>MONTH(B51)</f>
        <v>4</v>
      </c>
      <c r="D51" t="inlineStr">
        <is>
          <t>Montserrado</t>
        </is>
      </c>
      <c r="E51" t="inlineStr">
        <is>
          <t>Brewerville</t>
        </is>
      </c>
      <c r="F51" t="inlineStr">
        <is>
          <t>Drinking Water Contamination</t>
        </is>
      </c>
      <c r="G51" t="inlineStr">
        <is>
          <t>Residents report discoloured water with an odour from the shallow well; suspected faecal contamination after heavy rain.</t>
        </is>
      </c>
      <c r="H51" s="33" t="n">
        <v>4</v>
      </c>
      <c r="I51" t="inlineStr">
        <is>
          <t>Medium</t>
        </is>
      </c>
      <c r="J51" t="inlineStr">
        <is>
          <t>Closed</t>
        </is>
      </c>
      <c r="K51" s="32" t="n">
        <v>46141</v>
      </c>
      <c r="L51" s="33">
        <f>IF(K51="","",K51-B51)</f>
        <v>6</v>
      </c>
      <c r="M51" t="inlineStr">
        <is>
          <t>Yes</t>
        </is>
      </c>
      <c r="N51" t="inlineStr">
        <is>
          <t>Water point sampled; chlorination advised; community sensitised on boiling.</t>
        </is>
      </c>
    </row>
    <row r="52">
      <c r="A52" t="inlineStr">
        <is>
          <t>HC-2026-0049</t>
        </is>
      </c>
      <c r="B52" s="32" t="n">
        <v>46129</v>
      </c>
      <c r="C52" s="33">
        <f>MONTH(B52)</f>
        <v>4</v>
      </c>
      <c r="D52" t="inlineStr">
        <is>
          <t>Bong</t>
        </is>
      </c>
      <c r="E52" t="inlineStr">
        <is>
          <t>Palala</t>
        </is>
      </c>
      <c r="F52" t="inlineStr">
        <is>
          <t>Waste Dumping</t>
        </is>
      </c>
      <c r="G52" t="inlineStr">
        <is>
          <t>Unauthorised dumping of mixed and medical waste on vacant land; scavenging by children reported.</t>
        </is>
      </c>
      <c r="H52" s="33" t="n">
        <v>6</v>
      </c>
      <c r="I52" t="inlineStr">
        <is>
          <t>Medium</t>
        </is>
      </c>
      <c r="J52" t="inlineStr">
        <is>
          <t>Investigating</t>
        </is>
      </c>
      <c r="L52" s="33">
        <f>IF(K52="","",K52-B52)</f>
        <v/>
      </c>
      <c r="M52" t="inlineStr">
        <is>
          <t>No</t>
        </is>
      </c>
      <c r="N52" t="inlineStr">
        <is>
          <t>Dumpsite cleared; warning notice served; monthly surveillance added.</t>
        </is>
      </c>
    </row>
    <row r="53">
      <c r="A53" t="inlineStr">
        <is>
          <t>HC-2026-0050</t>
        </is>
      </c>
      <c r="B53" s="32" t="n">
        <v>46123</v>
      </c>
      <c r="C53" s="33">
        <f>MONTH(B53)</f>
        <v>4</v>
      </c>
      <c r="D53" t="inlineStr">
        <is>
          <t>Margibi</t>
        </is>
      </c>
      <c r="E53" t="inlineStr">
        <is>
          <t>Weala</t>
        </is>
      </c>
      <c r="F53" t="inlineStr">
        <is>
          <t>Waste Dumping</t>
        </is>
      </c>
      <c r="G53" t="inlineStr">
        <is>
          <t>Unauthorised dumping of mixed and medical waste on vacant land; scavenging by children reported.</t>
        </is>
      </c>
      <c r="H53" s="33" t="n">
        <v>3</v>
      </c>
      <c r="I53" t="inlineStr">
        <is>
          <t>Medium</t>
        </is>
      </c>
      <c r="J53" t="inlineStr">
        <is>
          <t>Closed</t>
        </is>
      </c>
      <c r="K53" s="32" t="n">
        <v>46150</v>
      </c>
      <c r="L53" s="33">
        <f>IF(K53="","",K53-B53)</f>
        <v>27</v>
      </c>
      <c r="M53" t="inlineStr">
        <is>
          <t>No</t>
        </is>
      </c>
      <c r="N53" t="inlineStr">
        <is>
          <t>Dumpsite cleared; warning notice served; monthly surveillance added.</t>
        </is>
      </c>
    </row>
    <row r="54">
      <c r="A54" t="inlineStr">
        <is>
          <t>HC-2026-0051</t>
        </is>
      </c>
      <c r="B54" s="32" t="n">
        <v>46115</v>
      </c>
      <c r="C54" s="33">
        <f>MONTH(B54)</f>
        <v>4</v>
      </c>
      <c r="D54" t="inlineStr">
        <is>
          <t>Margibi</t>
        </is>
      </c>
      <c r="E54" t="inlineStr">
        <is>
          <t>Weala</t>
        </is>
      </c>
      <c r="F54" t="inlineStr">
        <is>
          <t>Sanitation</t>
        </is>
      </c>
      <c r="G54" t="inlineStr">
        <is>
          <t>Overflowing latrine / open defecation near a dwelling; residents report diarrhoeal illness, mostly in children under five.</t>
        </is>
      </c>
      <c r="H54" s="33" t="n">
        <v>11</v>
      </c>
      <c r="I54" t="inlineStr">
        <is>
          <t>Medium</t>
        </is>
      </c>
      <c r="J54" t="inlineStr">
        <is>
          <t>Closed</t>
        </is>
      </c>
      <c r="K54" s="32" t="n">
        <v>46134</v>
      </c>
      <c r="L54" s="33">
        <f>IF(K54="","",K54-B54)</f>
        <v>19</v>
      </c>
      <c r="M54" t="inlineStr">
        <is>
          <t>Yes</t>
        </is>
      </c>
      <c r="N54" t="inlineStr">
        <is>
          <t>Referred to county health team; latrine disinfection and clean-up ordered.</t>
        </is>
      </c>
    </row>
    <row r="55">
      <c r="A55" t="inlineStr">
        <is>
          <t>HC-2026-0052</t>
        </is>
      </c>
      <c r="B55" s="32" t="n">
        <v>46117</v>
      </c>
      <c r="C55" s="33">
        <f>MONTH(B55)</f>
        <v>4</v>
      </c>
      <c r="D55" t="inlineStr">
        <is>
          <t>Montserrado</t>
        </is>
      </c>
      <c r="E55" t="inlineStr">
        <is>
          <t>Brewerville</t>
        </is>
      </c>
      <c r="F55" t="inlineStr">
        <is>
          <t>Drinking Water Contamination</t>
        </is>
      </c>
      <c r="G55" t="inlineStr">
        <is>
          <t>Residents report discoloured water with an odour from the community hand pump; suspected faecal contamination after heavy rain.</t>
        </is>
      </c>
      <c r="H55" s="33" t="n">
        <v>34</v>
      </c>
      <c r="I55" t="inlineStr">
        <is>
          <t>Critical</t>
        </is>
      </c>
      <c r="J55" t="inlineStr">
        <is>
          <t>Closed</t>
        </is>
      </c>
      <c r="K55" s="32" t="n">
        <v>46127</v>
      </c>
      <c r="L55" s="33">
        <f>IF(K55="","",K55-B55)</f>
        <v>10</v>
      </c>
      <c r="M55" t="inlineStr">
        <is>
          <t>Yes</t>
        </is>
      </c>
      <c r="N55" t="inlineStr">
        <is>
          <t>Water point sampled; chlorination advised; community sensitised on boiling.</t>
        </is>
      </c>
    </row>
    <row r="56">
      <c r="A56" t="inlineStr">
        <is>
          <t>HC-2026-0053</t>
        </is>
      </c>
      <c r="B56" s="32" t="n">
        <v>46171</v>
      </c>
      <c r="C56" s="33">
        <f>MONTH(B56)</f>
        <v>5</v>
      </c>
      <c r="D56" t="inlineStr">
        <is>
          <t>Grand Bassa</t>
        </is>
      </c>
      <c r="E56" t="inlineStr">
        <is>
          <t>Buchanan</t>
        </is>
      </c>
      <c r="F56" t="inlineStr">
        <is>
          <t>Drinking Water Contamination</t>
        </is>
      </c>
      <c r="G56" t="inlineStr">
        <is>
          <t>Residents report discoloured water with an odour from the community hand pump; suspected faecal contamination after heavy rain.</t>
        </is>
      </c>
      <c r="H56" s="33" t="n">
        <v>4</v>
      </c>
      <c r="I56" t="inlineStr">
        <is>
          <t>Medium</t>
        </is>
      </c>
      <c r="J56" t="inlineStr">
        <is>
          <t>Investigating</t>
        </is>
      </c>
      <c r="L56" s="33">
        <f>IF(K56="","",K56-B56)</f>
        <v/>
      </c>
      <c r="M56" t="inlineStr">
        <is>
          <t>Yes</t>
        </is>
      </c>
      <c r="N56" t="inlineStr">
        <is>
          <t>Water point sampled; chlorination advised; community sensitised on boiling.</t>
        </is>
      </c>
    </row>
    <row r="57">
      <c r="A57" t="inlineStr">
        <is>
          <t>HC-2026-0054</t>
        </is>
      </c>
      <c r="B57" s="32" t="n">
        <v>46170</v>
      </c>
      <c r="C57" s="33">
        <f>MONTH(B57)</f>
        <v>5</v>
      </c>
      <c r="D57" t="inlineStr">
        <is>
          <t>Montserrado</t>
        </is>
      </c>
      <c r="E57" t="inlineStr">
        <is>
          <t>Paynesville</t>
        </is>
      </c>
      <c r="F57" t="inlineStr">
        <is>
          <t>Drinking Water Contamination</t>
        </is>
      </c>
      <c r="G57" t="inlineStr">
        <is>
          <t>Residents report discoloured water with an odour from the public tap stand; suspected faecal contamination after heavy rain.</t>
        </is>
      </c>
      <c r="H57" s="33" t="n">
        <v>8</v>
      </c>
      <c r="I57" t="inlineStr">
        <is>
          <t>Medium</t>
        </is>
      </c>
      <c r="J57" t="inlineStr">
        <is>
          <t>Closed</t>
        </is>
      </c>
      <c r="K57" s="32" t="n">
        <v>46189</v>
      </c>
      <c r="L57" s="33">
        <f>IF(K57="","",K57-B57)</f>
        <v>19</v>
      </c>
      <c r="M57" t="inlineStr">
        <is>
          <t>Yes</t>
        </is>
      </c>
      <c r="N57" t="inlineStr">
        <is>
          <t>Water point sampled; chlorination advised; community sensitised on boiling.</t>
        </is>
      </c>
    </row>
    <row r="58">
      <c r="A58" t="inlineStr">
        <is>
          <t>HC-2026-0055</t>
        </is>
      </c>
      <c r="B58" s="32" t="n">
        <v>46171</v>
      </c>
      <c r="C58" s="33">
        <f>MONTH(B58)</f>
        <v>5</v>
      </c>
      <c r="D58" t="inlineStr">
        <is>
          <t>Montserrado</t>
        </is>
      </c>
      <c r="E58" t="inlineStr">
        <is>
          <t>Caldwell</t>
        </is>
      </c>
      <c r="F58" t="inlineStr">
        <is>
          <t>Noise</t>
        </is>
      </c>
      <c r="G58" t="inlineStr">
        <is>
          <t>Continuous low-frequency noise at night from a generator set.</t>
        </is>
      </c>
      <c r="H58" s="33" t="n">
        <v>0</v>
      </c>
      <c r="I58" t="inlineStr">
        <is>
          <t>Low</t>
        </is>
      </c>
      <c r="J58" t="inlineStr">
        <is>
          <t>Closed</t>
        </is>
      </c>
      <c r="K58" s="32" t="n">
        <v>46176</v>
      </c>
      <c r="L58" s="33">
        <f>IF(K58="","",K58-B58)</f>
        <v>5</v>
      </c>
      <c r="M58" t="inlineStr">
        <is>
          <t>No</t>
        </is>
      </c>
      <c r="N58" t="inlineStr">
        <is>
          <t>Noise measurement taken; operator advised on night-time operating hours.</t>
        </is>
      </c>
    </row>
    <row r="59">
      <c r="A59" t="inlineStr">
        <is>
          <t>HC-2026-0056</t>
        </is>
      </c>
      <c r="B59" s="32" t="n">
        <v>46150</v>
      </c>
      <c r="C59" s="33">
        <f>MONTH(B59)</f>
        <v>5</v>
      </c>
      <c r="D59" t="inlineStr">
        <is>
          <t>Bomi</t>
        </is>
      </c>
      <c r="E59" t="inlineStr">
        <is>
          <t>Tubmanburg</t>
        </is>
      </c>
      <c r="F59" t="inlineStr">
        <is>
          <t>Drinking Water Contamination</t>
        </is>
      </c>
      <c r="G59" t="inlineStr">
        <is>
          <t>Residents report discoloured water with an odour from the public tap stand; suspected faecal contamination after heavy rain.</t>
        </is>
      </c>
      <c r="H59" s="33" t="n">
        <v>8</v>
      </c>
      <c r="I59" t="inlineStr">
        <is>
          <t>Medium</t>
        </is>
      </c>
      <c r="J59" t="inlineStr">
        <is>
          <t>Closed</t>
        </is>
      </c>
      <c r="K59" s="32" t="n">
        <v>46166</v>
      </c>
      <c r="L59" s="33">
        <f>IF(K59="","",K59-B59)</f>
        <v>16</v>
      </c>
      <c r="M59" t="inlineStr">
        <is>
          <t>Yes</t>
        </is>
      </c>
      <c r="N59" t="inlineStr">
        <is>
          <t>Water point sampled; chlorination advised; community sensitised on boiling.</t>
        </is>
      </c>
    </row>
    <row r="60">
      <c r="A60" t="inlineStr">
        <is>
          <t>HC-2026-0057</t>
        </is>
      </c>
      <c r="B60" s="32" t="n">
        <v>46145</v>
      </c>
      <c r="C60" s="33">
        <f>MONTH(B60)</f>
        <v>5</v>
      </c>
      <c r="D60" t="inlineStr">
        <is>
          <t>Montserrado</t>
        </is>
      </c>
      <c r="E60" t="inlineStr">
        <is>
          <t>Paynesville</t>
        </is>
      </c>
      <c r="F60" t="inlineStr">
        <is>
          <t>Noise</t>
        </is>
      </c>
      <c r="G60" t="inlineStr">
        <is>
          <t>Continuous low-frequency noise at night from night-time haulage.</t>
        </is>
      </c>
      <c r="H60" s="33" t="n">
        <v>0</v>
      </c>
      <c r="I60" t="inlineStr">
        <is>
          <t>Low</t>
        </is>
      </c>
      <c r="J60" t="inlineStr">
        <is>
          <t>Closed</t>
        </is>
      </c>
      <c r="K60" s="32" t="n">
        <v>46159</v>
      </c>
      <c r="L60" s="33">
        <f>IF(K60="","",K60-B60)</f>
        <v>14</v>
      </c>
      <c r="M60" t="inlineStr">
        <is>
          <t>No</t>
        </is>
      </c>
      <c r="N60" t="inlineStr">
        <is>
          <t>Noise measurement taken; operator advised on night-time operating hours.</t>
        </is>
      </c>
    </row>
    <row r="61">
      <c r="A61" t="inlineStr">
        <is>
          <t>HC-2026-0058</t>
        </is>
      </c>
      <c r="B61" s="32" t="n">
        <v>46149</v>
      </c>
      <c r="C61" s="33">
        <f>MONTH(B61)</f>
        <v>5</v>
      </c>
      <c r="D61" t="inlineStr">
        <is>
          <t>Nimba</t>
        </is>
      </c>
      <c r="E61" t="inlineStr">
        <is>
          <t>Karnplay</t>
        </is>
      </c>
      <c r="F61" t="inlineStr">
        <is>
          <t>Waste Dumping</t>
        </is>
      </c>
      <c r="G61" t="inlineStr">
        <is>
          <t>Unauthorised dumping of mixed and medical waste on vacant land; scavenging by children reported.</t>
        </is>
      </c>
      <c r="H61" s="33" t="n">
        <v>0</v>
      </c>
      <c r="I61" t="inlineStr">
        <is>
          <t>Low</t>
        </is>
      </c>
      <c r="J61" t="inlineStr">
        <is>
          <t>Received</t>
        </is>
      </c>
      <c r="L61" s="33">
        <f>IF(K61="","",K61-B61)</f>
        <v/>
      </c>
      <c r="M61" t="inlineStr">
        <is>
          <t>No</t>
        </is>
      </c>
      <c r="N61" t="inlineStr">
        <is>
          <t>Dumpsite cleared; warning notice served; monthly surveillance added.</t>
        </is>
      </c>
    </row>
    <row r="62">
      <c r="A62" t="inlineStr">
        <is>
          <t>HC-2026-0059</t>
        </is>
      </c>
      <c r="B62" s="32" t="n">
        <v>46143</v>
      </c>
      <c r="C62" s="33">
        <f>MONTH(B62)</f>
        <v>5</v>
      </c>
      <c r="D62" t="inlineStr">
        <is>
          <t>Grand Bassa</t>
        </is>
      </c>
      <c r="E62" t="inlineStr">
        <is>
          <t>Buchanan</t>
        </is>
      </c>
      <c r="F62" t="inlineStr">
        <is>
          <t>Drinking Water Contamination</t>
        </is>
      </c>
      <c r="G62" t="inlineStr">
        <is>
          <t>Residents report discoloured water with an odour from the community hand pump; suspected faecal contamination after heavy rain.</t>
        </is>
      </c>
      <c r="H62" s="33" t="n">
        <v>47</v>
      </c>
      <c r="I62" t="inlineStr">
        <is>
          <t>Critical</t>
        </is>
      </c>
      <c r="J62" t="inlineStr">
        <is>
          <t>Investigating</t>
        </is>
      </c>
      <c r="L62" s="33">
        <f>IF(K62="","",K62-B62)</f>
        <v/>
      </c>
      <c r="M62" t="inlineStr">
        <is>
          <t>Yes</t>
        </is>
      </c>
      <c r="N62" t="inlineStr">
        <is>
          <t>Water point sampled; chlorination advised; community sensitised on boiling.</t>
        </is>
      </c>
    </row>
    <row r="63">
      <c r="A63" t="inlineStr">
        <is>
          <t>HC-2026-0060</t>
        </is>
      </c>
      <c r="B63" s="32" t="n">
        <v>46170</v>
      </c>
      <c r="C63" s="33">
        <f>MONTH(B63)</f>
        <v>5</v>
      </c>
      <c r="D63" t="inlineStr">
        <is>
          <t>Lofa</t>
        </is>
      </c>
      <c r="E63" t="inlineStr">
        <is>
          <t>Zorzor</t>
        </is>
      </c>
      <c r="F63" t="inlineStr">
        <is>
          <t>Noise</t>
        </is>
      </c>
      <c r="G63" t="inlineStr">
        <is>
          <t>Continuous low-frequency noise at night from a generator set.</t>
        </is>
      </c>
      <c r="H63" s="33" t="n">
        <v>0</v>
      </c>
      <c r="I63" t="inlineStr">
        <is>
          <t>Low</t>
        </is>
      </c>
      <c r="J63" t="inlineStr">
        <is>
          <t>Closed</t>
        </is>
      </c>
      <c r="K63" s="32" t="n">
        <v>46173</v>
      </c>
      <c r="L63" s="33">
        <f>IF(K63="","",K63-B63)</f>
        <v>3</v>
      </c>
      <c r="M63" t="inlineStr">
        <is>
          <t>No</t>
        </is>
      </c>
      <c r="N63" t="inlineStr">
        <is>
          <t>Noise measurement taken; operator advised on night-time operating hours.</t>
        </is>
      </c>
    </row>
    <row r="64">
      <c r="A64" t="inlineStr">
        <is>
          <t>HC-2026-0061</t>
        </is>
      </c>
      <c r="B64" s="32" t="n">
        <v>46149</v>
      </c>
      <c r="C64" s="33">
        <f>MONTH(B64)</f>
        <v>5</v>
      </c>
      <c r="D64" t="inlineStr">
        <is>
          <t>Sinoe</t>
        </is>
      </c>
      <c r="E64" t="inlineStr">
        <is>
          <t>Juazon</t>
        </is>
      </c>
      <c r="F64" t="inlineStr">
        <is>
          <t>Sanitation</t>
        </is>
      </c>
      <c r="G64" t="inlineStr">
        <is>
          <t>Overflowing latrine / open defecation near a dwelling; residents report diarrhoeal illness, mostly in children under five.</t>
        </is>
      </c>
      <c r="H64" s="33" t="n">
        <v>11</v>
      </c>
      <c r="I64" t="inlineStr">
        <is>
          <t>Medium</t>
        </is>
      </c>
      <c r="J64" t="inlineStr">
        <is>
          <t>Received</t>
        </is>
      </c>
      <c r="L64" s="33">
        <f>IF(K64="","",K64-B64)</f>
        <v/>
      </c>
      <c r="M64" t="inlineStr">
        <is>
          <t>Yes</t>
        </is>
      </c>
      <c r="N64" t="inlineStr">
        <is>
          <t>Referred to county health team; latrine disinfection and clean-up ordered.</t>
        </is>
      </c>
    </row>
    <row r="65">
      <c r="A65" t="inlineStr">
        <is>
          <t>HC-2026-0062</t>
        </is>
      </c>
      <c r="B65" s="32" t="n">
        <v>46145</v>
      </c>
      <c r="C65" s="33">
        <f>MONTH(B65)</f>
        <v>5</v>
      </c>
      <c r="D65" t="inlineStr">
        <is>
          <t>Grand Cape Mount</t>
        </is>
      </c>
      <c r="E65" t="inlineStr">
        <is>
          <t>Sinje</t>
        </is>
      </c>
      <c r="F65" t="inlineStr">
        <is>
          <t>Sanitation</t>
        </is>
      </c>
      <c r="G65" t="inlineStr">
        <is>
          <t>Overflowing latrine / open defecation near a dwelling; residents report diarrhoeal illness, mostly in children under five.</t>
        </is>
      </c>
      <c r="H65" s="33" t="n">
        <v>24</v>
      </c>
      <c r="I65" t="inlineStr">
        <is>
          <t>High</t>
        </is>
      </c>
      <c r="J65" t="inlineStr">
        <is>
          <t>Closed</t>
        </is>
      </c>
      <c r="K65" s="32" t="n">
        <v>46162</v>
      </c>
      <c r="L65" s="33">
        <f>IF(K65="","",K65-B65)</f>
        <v>17</v>
      </c>
      <c r="M65" t="inlineStr">
        <is>
          <t>Yes</t>
        </is>
      </c>
      <c r="N65" t="inlineStr">
        <is>
          <t>Referred to county health team; latrine disinfection and clean-up ordered.</t>
        </is>
      </c>
    </row>
    <row r="66">
      <c r="A66" t="inlineStr">
        <is>
          <t>HC-2026-0063</t>
        </is>
      </c>
      <c r="B66" s="32" t="n">
        <v>46152</v>
      </c>
      <c r="C66" s="33">
        <f>MONTH(B66)</f>
        <v>5</v>
      </c>
      <c r="D66" t="inlineStr">
        <is>
          <t>Nimba</t>
        </is>
      </c>
      <c r="E66" t="inlineStr">
        <is>
          <t>Tappita</t>
        </is>
      </c>
      <c r="F66" t="inlineStr">
        <is>
          <t>Waste Dumping</t>
        </is>
      </c>
      <c r="G66" t="inlineStr">
        <is>
          <t>Unauthorised dumping of mixed and medical waste on vacant land; scavenging by children reported.</t>
        </is>
      </c>
      <c r="H66" s="33" t="n">
        <v>9</v>
      </c>
      <c r="I66" t="inlineStr">
        <is>
          <t>Medium</t>
        </is>
      </c>
      <c r="J66" t="inlineStr">
        <is>
          <t>Closed</t>
        </is>
      </c>
      <c r="K66" s="32" t="n">
        <v>46176</v>
      </c>
      <c r="L66" s="33">
        <f>IF(K66="","",K66-B66)</f>
        <v>24</v>
      </c>
      <c r="M66" t="inlineStr">
        <is>
          <t>No</t>
        </is>
      </c>
      <c r="N66" t="inlineStr">
        <is>
          <t>Dumpsite cleared; warning notice served; monthly surveillance added.</t>
        </is>
      </c>
    </row>
    <row r="67">
      <c r="A67" t="inlineStr">
        <is>
          <t>HC-2026-0064</t>
        </is>
      </c>
      <c r="B67" s="32" t="n">
        <v>46145</v>
      </c>
      <c r="C67" s="33">
        <f>MONTH(B67)</f>
        <v>5</v>
      </c>
      <c r="D67" t="inlineStr">
        <is>
          <t>Montserrado</t>
        </is>
      </c>
      <c r="E67" t="inlineStr">
        <is>
          <t>Johnsonville</t>
        </is>
      </c>
      <c r="F67" t="inlineStr">
        <is>
          <t>Chemical Exposure</t>
        </is>
      </c>
      <c r="G67" t="inlineStr">
        <is>
          <t>Possible chemical exposure reported after handling of unlabelled containers at a nearby facility.</t>
        </is>
      </c>
      <c r="H67" s="33" t="n">
        <v>6</v>
      </c>
      <c r="I67" t="inlineStr">
        <is>
          <t>Medium</t>
        </is>
      </c>
      <c r="J67" t="inlineStr">
        <is>
          <t>Investigating</t>
        </is>
      </c>
      <c r="L67" s="33">
        <f>IF(K67="","",K67-B67)</f>
        <v/>
      </c>
      <c r="M67" t="inlineStr">
        <is>
          <t>No</t>
        </is>
      </c>
      <c r="N67" t="inlineStr">
        <is>
          <t>Site visited with Chemical Unit; containers secured for inventory audit.</t>
        </is>
      </c>
    </row>
    <row r="68">
      <c r="A68" t="inlineStr">
        <is>
          <t>HC-2026-0065</t>
        </is>
      </c>
      <c r="B68" s="32" t="n">
        <v>46159</v>
      </c>
      <c r="C68" s="33">
        <f>MONTH(B68)</f>
        <v>5</v>
      </c>
      <c r="D68" t="inlineStr">
        <is>
          <t>Nimba</t>
        </is>
      </c>
      <c r="E68" t="inlineStr">
        <is>
          <t>Saclepea</t>
        </is>
      </c>
      <c r="F68" t="inlineStr">
        <is>
          <t>Drinking Water Contamination</t>
        </is>
      </c>
      <c r="G68" t="inlineStr">
        <is>
          <t>Residents report discoloured water with an odour from the shallow well; suspected faecal contamination after heavy rain.</t>
        </is>
      </c>
      <c r="H68" s="33" t="n">
        <v>18</v>
      </c>
      <c r="I68" t="inlineStr">
        <is>
          <t>High</t>
        </is>
      </c>
      <c r="J68" t="inlineStr">
        <is>
          <t>Investigating</t>
        </is>
      </c>
      <c r="L68" s="33">
        <f>IF(K68="","",K68-B68)</f>
        <v/>
      </c>
      <c r="M68" t="inlineStr">
        <is>
          <t>Yes</t>
        </is>
      </c>
      <c r="N68" t="inlineStr">
        <is>
          <t>Water point sampled; chlorination advised; community sensitised on boiling.</t>
        </is>
      </c>
    </row>
    <row r="69">
      <c r="A69" t="inlineStr">
        <is>
          <t>HC-2026-0066</t>
        </is>
      </c>
      <c r="B69" s="32" t="n">
        <v>46143</v>
      </c>
      <c r="C69" s="33">
        <f>MONTH(B69)</f>
        <v>5</v>
      </c>
      <c r="D69" t="inlineStr">
        <is>
          <t>Montserrado</t>
        </is>
      </c>
      <c r="E69" t="inlineStr">
        <is>
          <t>Gardnersville</t>
        </is>
      </c>
      <c r="F69" t="inlineStr">
        <is>
          <t>Air Quality / Smoke &amp; Dust</t>
        </is>
      </c>
      <c r="G69" t="inlineStr">
        <is>
          <t>Dust and smoke from open burning of waste; households report coughing and eye irritation.</t>
        </is>
      </c>
      <c r="H69" s="33" t="n">
        <v>5</v>
      </c>
      <c r="I69" t="inlineStr">
        <is>
          <t>Medium</t>
        </is>
      </c>
      <c r="J69" t="inlineStr">
        <is>
          <t>Findings Presented</t>
        </is>
      </c>
      <c r="L69" s="33">
        <f>IF(K69="","",K69-B69)</f>
        <v/>
      </c>
      <c r="M69" t="inlineStr">
        <is>
          <t>No</t>
        </is>
      </c>
      <c r="N69" t="inlineStr">
        <is>
          <t>Air sampling conducted; operator directed to suppress dust and stop open burning.</t>
        </is>
      </c>
    </row>
    <row r="70">
      <c r="A70" t="inlineStr">
        <is>
          <t>HC-2026-0067</t>
        </is>
      </c>
      <c r="B70" s="32" t="n">
        <v>46146</v>
      </c>
      <c r="C70" s="33">
        <f>MONTH(B70)</f>
        <v>5</v>
      </c>
      <c r="D70" t="inlineStr">
        <is>
          <t>Grand Bassa</t>
        </is>
      </c>
      <c r="E70" t="inlineStr">
        <is>
          <t>Edina</t>
        </is>
      </c>
      <c r="F70" t="inlineStr">
        <is>
          <t>Waste Dumping</t>
        </is>
      </c>
      <c r="G70" t="inlineStr">
        <is>
          <t>Unauthorised dumping of mixed and medical waste on vacant land; scavenging by children reported.</t>
        </is>
      </c>
      <c r="H70" s="33" t="n">
        <v>1</v>
      </c>
      <c r="I70" t="inlineStr">
        <is>
          <t>Low</t>
        </is>
      </c>
      <c r="J70" t="inlineStr">
        <is>
          <t>Closed</t>
        </is>
      </c>
      <c r="K70" s="32" t="n">
        <v>46186</v>
      </c>
      <c r="L70" s="33">
        <f>IF(K70="","",K70-B70)</f>
        <v>40</v>
      </c>
      <c r="M70" t="inlineStr">
        <is>
          <t>No</t>
        </is>
      </c>
      <c r="N70" t="inlineStr">
        <is>
          <t>Dumpsite cleared; warning notice served; monthly surveillance added.</t>
        </is>
      </c>
    </row>
    <row r="71">
      <c r="A71" t="inlineStr">
        <is>
          <t>HC-2026-0068</t>
        </is>
      </c>
      <c r="B71" s="32" t="n">
        <v>46181</v>
      </c>
      <c r="C71" s="33">
        <f>MONTH(B71)</f>
        <v>6</v>
      </c>
      <c r="D71" t="inlineStr">
        <is>
          <t>Montserrado</t>
        </is>
      </c>
      <c r="E71" t="inlineStr">
        <is>
          <t>Sinkor</t>
        </is>
      </c>
      <c r="F71" t="inlineStr">
        <is>
          <t>Air Quality / Smoke &amp; Dust</t>
        </is>
      </c>
      <c r="G71" t="inlineStr">
        <is>
          <t>Dust and smoke from open burning of waste; households report coughing and eye irritation.</t>
        </is>
      </c>
      <c r="H71" s="33" t="n">
        <v>30</v>
      </c>
      <c r="I71" t="inlineStr">
        <is>
          <t>Critical</t>
        </is>
      </c>
      <c r="J71" t="inlineStr">
        <is>
          <t>Closed</t>
        </is>
      </c>
      <c r="K71" s="32" t="n">
        <v>46199</v>
      </c>
      <c r="L71" s="33">
        <f>IF(K71="","",K71-B71)</f>
        <v>18</v>
      </c>
      <c r="M71" t="inlineStr">
        <is>
          <t>No</t>
        </is>
      </c>
      <c r="N71" t="inlineStr">
        <is>
          <t>Air sampling conducted; operator directed to suppress dust and stop open burning.</t>
        </is>
      </c>
    </row>
    <row r="72">
      <c r="A72" t="inlineStr">
        <is>
          <t>HC-2026-0069</t>
        </is>
      </c>
      <c r="B72" s="32" t="n">
        <v>46201</v>
      </c>
      <c r="C72" s="33">
        <f>MONTH(B72)</f>
        <v>6</v>
      </c>
      <c r="D72" t="inlineStr">
        <is>
          <t>Margibi</t>
        </is>
      </c>
      <c r="E72" t="inlineStr">
        <is>
          <t>Firestone</t>
        </is>
      </c>
      <c r="F72" t="inlineStr">
        <is>
          <t>Chemical Exposure</t>
        </is>
      </c>
      <c r="G72" t="inlineStr">
        <is>
          <t>Possible chemical exposure reported after handling of unlabelled containers at a nearby facility.</t>
        </is>
      </c>
      <c r="H72" s="33" t="n">
        <v>2</v>
      </c>
      <c r="I72" t="inlineStr">
        <is>
          <t>Low</t>
        </is>
      </c>
      <c r="J72" t="inlineStr">
        <is>
          <t>Closed</t>
        </is>
      </c>
      <c r="K72" s="32" t="n">
        <v>46230</v>
      </c>
      <c r="L72" s="33">
        <f>IF(K72="","",K72-B72)</f>
        <v>29</v>
      </c>
      <c r="M72" t="inlineStr">
        <is>
          <t>No</t>
        </is>
      </c>
      <c r="N72" t="inlineStr">
        <is>
          <t>Site visited with Chemical Unit; containers secured for inventory audit.</t>
        </is>
      </c>
    </row>
    <row r="73">
      <c r="A73" t="inlineStr">
        <is>
          <t>HC-2026-0070</t>
        </is>
      </c>
      <c r="B73" s="32" t="n">
        <v>46177</v>
      </c>
      <c r="C73" s="33">
        <f>MONTH(B73)</f>
        <v>6</v>
      </c>
      <c r="D73" t="inlineStr">
        <is>
          <t>Nimba</t>
        </is>
      </c>
      <c r="E73" t="inlineStr">
        <is>
          <t>Tappita</t>
        </is>
      </c>
      <c r="F73" t="inlineStr">
        <is>
          <t>Air Quality / Smoke &amp; Dust</t>
        </is>
      </c>
      <c r="G73" t="inlineStr">
        <is>
          <t>Dust and smoke from open burning of waste; households report coughing and eye irritation.</t>
        </is>
      </c>
      <c r="H73" s="33" t="n">
        <v>5</v>
      </c>
      <c r="I73" t="inlineStr">
        <is>
          <t>Medium</t>
        </is>
      </c>
      <c r="J73" t="inlineStr">
        <is>
          <t>Closed</t>
        </is>
      </c>
      <c r="K73" s="32" t="n">
        <v>46200</v>
      </c>
      <c r="L73" s="33">
        <f>IF(K73="","",K73-B73)</f>
        <v>23</v>
      </c>
      <c r="M73" t="inlineStr">
        <is>
          <t>No</t>
        </is>
      </c>
      <c r="N73" t="inlineStr">
        <is>
          <t>Air sampling conducted; operator directed to suppress dust and stop open burning.</t>
        </is>
      </c>
    </row>
    <row r="74">
      <c r="A74" t="inlineStr">
        <is>
          <t>HC-2026-0071</t>
        </is>
      </c>
      <c r="B74" s="32" t="n">
        <v>46189</v>
      </c>
      <c r="C74" s="33">
        <f>MONTH(B74)</f>
        <v>6</v>
      </c>
      <c r="D74" t="inlineStr">
        <is>
          <t>Nimba</t>
        </is>
      </c>
      <c r="E74" t="inlineStr">
        <is>
          <t>Ganta</t>
        </is>
      </c>
      <c r="F74" t="inlineStr">
        <is>
          <t>Sanitation</t>
        </is>
      </c>
      <c r="G74" t="inlineStr">
        <is>
          <t>Overflowing latrine / open defecation near a dwelling; residents report diarrhoeal illness, mostly in children under five.</t>
        </is>
      </c>
      <c r="H74" s="33" t="n">
        <v>24</v>
      </c>
      <c r="I74" t="inlineStr">
        <is>
          <t>High</t>
        </is>
      </c>
      <c r="J74" t="inlineStr">
        <is>
          <t>Closed</t>
        </is>
      </c>
      <c r="K74" s="32" t="n">
        <v>46200</v>
      </c>
      <c r="L74" s="33">
        <f>IF(K74="","",K74-B74)</f>
        <v>11</v>
      </c>
      <c r="M74" t="inlineStr">
        <is>
          <t>Yes</t>
        </is>
      </c>
      <c r="N74" t="inlineStr">
        <is>
          <t>Referred to county health team; latrine disinfection and clean-up ordered.</t>
        </is>
      </c>
    </row>
    <row r="75">
      <c r="A75" t="inlineStr">
        <is>
          <t>HC-2026-0072</t>
        </is>
      </c>
      <c r="B75" s="32" t="n">
        <v>46199</v>
      </c>
      <c r="C75" s="33">
        <f>MONTH(B75)</f>
        <v>6</v>
      </c>
      <c r="D75" t="inlineStr">
        <is>
          <t>Bong</t>
        </is>
      </c>
      <c r="E75" t="inlineStr">
        <is>
          <t>Suakoko</t>
        </is>
      </c>
      <c r="F75" t="inlineStr">
        <is>
          <t>Drinking Water Contamination</t>
        </is>
      </c>
      <c r="G75" t="inlineStr">
        <is>
          <t>Residents report discoloured water with an odour from the community hand pump; suspected faecal contamination after heavy rain.</t>
        </is>
      </c>
      <c r="H75" s="33" t="n">
        <v>12</v>
      </c>
      <c r="I75" t="inlineStr">
        <is>
          <t>High</t>
        </is>
      </c>
      <c r="J75" t="inlineStr">
        <is>
          <t>Closed</t>
        </is>
      </c>
      <c r="K75" s="32" t="n">
        <v>46219</v>
      </c>
      <c r="L75" s="33">
        <f>IF(K75="","",K75-B75)</f>
        <v>20</v>
      </c>
      <c r="M75" t="inlineStr">
        <is>
          <t>Yes</t>
        </is>
      </c>
      <c r="N75" t="inlineStr">
        <is>
          <t>Water point sampled; chlorination advised; community sensitised on boiling.</t>
        </is>
      </c>
    </row>
    <row r="76">
      <c r="A76" t="inlineStr">
        <is>
          <t>HC-2026-0073</t>
        </is>
      </c>
      <c r="B76" s="32" t="n">
        <v>46179</v>
      </c>
      <c r="C76" s="33">
        <f>MONTH(B76)</f>
        <v>6</v>
      </c>
      <c r="D76" t="inlineStr">
        <is>
          <t>Bomi</t>
        </is>
      </c>
      <c r="E76" t="inlineStr">
        <is>
          <t>Klay</t>
        </is>
      </c>
      <c r="F76" t="inlineStr">
        <is>
          <t>Drinking Water Contamination</t>
        </is>
      </c>
      <c r="G76" t="inlineStr">
        <is>
          <t>Residents report discoloured water with an odour from the public tap stand; suspected faecal contamination after heavy rain.</t>
        </is>
      </c>
      <c r="H76" s="33" t="n">
        <v>12</v>
      </c>
      <c r="I76" t="inlineStr">
        <is>
          <t>High</t>
        </is>
      </c>
      <c r="J76" t="inlineStr">
        <is>
          <t>Received</t>
        </is>
      </c>
      <c r="L76" s="33">
        <f>IF(K76="","",K76-B76)</f>
        <v/>
      </c>
      <c r="M76" t="inlineStr">
        <is>
          <t>Yes</t>
        </is>
      </c>
      <c r="N76" t="inlineStr">
        <is>
          <t>Water point sampled; chlorination advised; community sensitised on boiling.</t>
        </is>
      </c>
    </row>
    <row r="77">
      <c r="A77" t="inlineStr">
        <is>
          <t>HC-2026-0074</t>
        </is>
      </c>
      <c r="B77" s="32" t="n">
        <v>46196</v>
      </c>
      <c r="C77" s="33">
        <f>MONTH(B77)</f>
        <v>6</v>
      </c>
      <c r="D77" t="inlineStr">
        <is>
          <t>Lofa</t>
        </is>
      </c>
      <c r="E77" t="inlineStr">
        <is>
          <t>Foya</t>
        </is>
      </c>
      <c r="F77" t="inlineStr">
        <is>
          <t>Drinking Water Contamination</t>
        </is>
      </c>
      <c r="G77" t="inlineStr">
        <is>
          <t>Residents report discoloured water with an odour from the community hand pump; suspected faecal contamination after heavy rain.</t>
        </is>
      </c>
      <c r="H77" s="33" t="n">
        <v>0</v>
      </c>
      <c r="I77" t="inlineStr">
        <is>
          <t>Low</t>
        </is>
      </c>
      <c r="J77" t="inlineStr">
        <is>
          <t>Findings Presented</t>
        </is>
      </c>
      <c r="L77" s="33">
        <f>IF(K77="","",K77-B77)</f>
        <v/>
      </c>
      <c r="M77" t="inlineStr">
        <is>
          <t>No</t>
        </is>
      </c>
      <c r="N77" t="inlineStr">
        <is>
          <t>Water point sampled; chlorination advised; community sensitised on boiling.</t>
        </is>
      </c>
    </row>
    <row r="78">
      <c r="A78" t="inlineStr">
        <is>
          <t>HC-2026-0075</t>
        </is>
      </c>
      <c r="B78" s="32" t="n">
        <v>46174</v>
      </c>
      <c r="C78" s="33">
        <f>MONTH(B78)</f>
        <v>6</v>
      </c>
      <c r="D78" t="inlineStr">
        <is>
          <t>Bong</t>
        </is>
      </c>
      <c r="E78" t="inlineStr">
        <is>
          <t>Totota</t>
        </is>
      </c>
      <c r="F78" t="inlineStr">
        <is>
          <t>Waste Dumping</t>
        </is>
      </c>
      <c r="G78" t="inlineStr">
        <is>
          <t>Unauthorised dumping of mixed and medical waste on vacant land; scavenging by children reported.</t>
        </is>
      </c>
      <c r="H78" s="33" t="n">
        <v>0</v>
      </c>
      <c r="I78" t="inlineStr">
        <is>
          <t>Low</t>
        </is>
      </c>
      <c r="J78" t="inlineStr">
        <is>
          <t>Closed</t>
        </is>
      </c>
      <c r="K78" s="32" t="n">
        <v>46201</v>
      </c>
      <c r="L78" s="33">
        <f>IF(K78="","",K78-B78)</f>
        <v>27</v>
      </c>
      <c r="M78" t="inlineStr">
        <is>
          <t>No</t>
        </is>
      </c>
      <c r="N78" t="inlineStr">
        <is>
          <t>Dumpsite cleared; warning notice served; monthly surveillance added.</t>
        </is>
      </c>
    </row>
    <row r="79">
      <c r="A79" t="inlineStr">
        <is>
          <t>HC-2026-0076</t>
        </is>
      </c>
      <c r="B79" s="32" t="n">
        <v>46201</v>
      </c>
      <c r="C79" s="33">
        <f>MONTH(B79)</f>
        <v>6</v>
      </c>
      <c r="D79" t="inlineStr">
        <is>
          <t>Montserrado</t>
        </is>
      </c>
      <c r="E79" t="inlineStr">
        <is>
          <t>New Kru Town</t>
        </is>
      </c>
      <c r="F79" t="inlineStr">
        <is>
          <t>Waste Dumping</t>
        </is>
      </c>
      <c r="G79" t="inlineStr">
        <is>
          <t>Unauthorised dumping of mixed and medical waste on vacant land; scavenging by children reported.</t>
        </is>
      </c>
      <c r="H79" s="33" t="n">
        <v>6</v>
      </c>
      <c r="I79" t="inlineStr">
        <is>
          <t>Medium</t>
        </is>
      </c>
      <c r="J79" t="inlineStr">
        <is>
          <t>Closed</t>
        </is>
      </c>
      <c r="K79" s="32" t="n">
        <v>46234</v>
      </c>
      <c r="L79" s="33">
        <f>IF(K79="","",K79-B79)</f>
        <v>33</v>
      </c>
      <c r="M79" t="inlineStr">
        <is>
          <t>No</t>
        </is>
      </c>
      <c r="N79" t="inlineStr">
        <is>
          <t>Dumpsite cleared; warning notice served; monthly surveillance added.</t>
        </is>
      </c>
    </row>
    <row r="80">
      <c r="A80" t="inlineStr">
        <is>
          <t>HC-2026-0077</t>
        </is>
      </c>
      <c r="B80" s="32" t="n">
        <v>46184</v>
      </c>
      <c r="C80" s="33">
        <f>MONTH(B80)</f>
        <v>6</v>
      </c>
      <c r="D80" t="inlineStr">
        <is>
          <t>Sinoe</t>
        </is>
      </c>
      <c r="E80" t="inlineStr">
        <is>
          <t>Greenville</t>
        </is>
      </c>
      <c r="F80" t="inlineStr">
        <is>
          <t>Drinking Water Contamination</t>
        </is>
      </c>
      <c r="G80" t="inlineStr">
        <is>
          <t>Residents report discoloured water with an odour from the shallow well; suspected faecal contamination after heavy rain.</t>
        </is>
      </c>
      <c r="H80" s="33" t="n">
        <v>8</v>
      </c>
      <c r="I80" t="inlineStr">
        <is>
          <t>Medium</t>
        </is>
      </c>
      <c r="J80" t="inlineStr">
        <is>
          <t>Closed</t>
        </is>
      </c>
      <c r="K80" s="32" t="n">
        <v>46193</v>
      </c>
      <c r="L80" s="33">
        <f>IF(K80="","",K80-B80)</f>
        <v>9</v>
      </c>
      <c r="M80" t="inlineStr">
        <is>
          <t>Yes</t>
        </is>
      </c>
      <c r="N80" t="inlineStr">
        <is>
          <t>Water point sampled; chlorination advised; community sensitised on boiling.</t>
        </is>
      </c>
    </row>
    <row r="81">
      <c r="A81" t="inlineStr">
        <is>
          <t>HC-2026-0078</t>
        </is>
      </c>
      <c r="B81" s="32" t="n">
        <v>46197</v>
      </c>
      <c r="C81" s="33">
        <f>MONTH(B81)</f>
        <v>6</v>
      </c>
      <c r="D81" t="inlineStr">
        <is>
          <t>Nimba</t>
        </is>
      </c>
      <c r="E81" t="inlineStr">
        <is>
          <t>Saclepea</t>
        </is>
      </c>
      <c r="F81" t="inlineStr">
        <is>
          <t>Sanitation</t>
        </is>
      </c>
      <c r="G81" t="inlineStr">
        <is>
          <t>Overflowing latrine / open defecation near a dwelling; residents report diarrhoeal illness, mostly in children under five.</t>
        </is>
      </c>
      <c r="H81" s="33" t="n">
        <v>17</v>
      </c>
      <c r="I81" t="inlineStr">
        <is>
          <t>High</t>
        </is>
      </c>
      <c r="J81" t="inlineStr">
        <is>
          <t>Investigating</t>
        </is>
      </c>
      <c r="L81" s="33">
        <f>IF(K81="","",K81-B81)</f>
        <v/>
      </c>
      <c r="M81" t="inlineStr">
        <is>
          <t>Yes</t>
        </is>
      </c>
      <c r="N81" t="inlineStr">
        <is>
          <t>Referred to county health team; latrine disinfection and clean-up ordered.</t>
        </is>
      </c>
    </row>
    <row r="82">
      <c r="A82" t="inlineStr">
        <is>
          <t>HC-2026-0079</t>
        </is>
      </c>
      <c r="B82" s="32" t="n">
        <v>46203</v>
      </c>
      <c r="C82" s="33">
        <f>MONTH(B82)</f>
        <v>6</v>
      </c>
      <c r="D82" t="inlineStr">
        <is>
          <t>Bong</t>
        </is>
      </c>
      <c r="E82" t="inlineStr">
        <is>
          <t>Totota</t>
        </is>
      </c>
      <c r="F82" t="inlineStr">
        <is>
          <t>Sanitation</t>
        </is>
      </c>
      <c r="G82" t="inlineStr">
        <is>
          <t>Overflowing latrine / open defecation near a dwelling; residents report diarrhoeal illness, mostly in children under five.</t>
        </is>
      </c>
      <c r="H82" s="33" t="n">
        <v>11</v>
      </c>
      <c r="I82" t="inlineStr">
        <is>
          <t>Medium</t>
        </is>
      </c>
      <c r="J82" t="inlineStr">
        <is>
          <t>Closed</t>
        </is>
      </c>
      <c r="K82" s="32" t="n">
        <v>46223</v>
      </c>
      <c r="L82" s="33">
        <f>IF(K82="","",K82-B82)</f>
        <v>20</v>
      </c>
      <c r="M82" t="inlineStr">
        <is>
          <t>Yes</t>
        </is>
      </c>
      <c r="N82" t="inlineStr">
        <is>
          <t>Referred to county health team; latrine disinfection and clean-up ordered.</t>
        </is>
      </c>
    </row>
    <row r="83">
      <c r="A83" t="inlineStr">
        <is>
          <t>HC-2026-0080</t>
        </is>
      </c>
      <c r="B83" s="32" t="n">
        <v>46233</v>
      </c>
      <c r="C83" s="33">
        <f>MONTH(B83)</f>
        <v>7</v>
      </c>
      <c r="D83" t="inlineStr">
        <is>
          <t>Grand Cape Mount</t>
        </is>
      </c>
      <c r="E83" t="inlineStr">
        <is>
          <t>Tieni</t>
        </is>
      </c>
      <c r="F83" t="inlineStr">
        <is>
          <t>Drinking Water Contamination</t>
        </is>
      </c>
      <c r="G83" t="inlineStr">
        <is>
          <t>Residents report discoloured water with an odour from the community hand pump; suspected faecal contamination after heavy rain.</t>
        </is>
      </c>
      <c r="H83" s="33" t="n">
        <v>62</v>
      </c>
      <c r="I83" t="inlineStr">
        <is>
          <t>Critical</t>
        </is>
      </c>
      <c r="J83" t="inlineStr">
        <is>
          <t>Closed</t>
        </is>
      </c>
      <c r="K83" s="32" t="n">
        <v>46251</v>
      </c>
      <c r="L83" s="33">
        <f>IF(K83="","",K83-B83)</f>
        <v>18</v>
      </c>
      <c r="M83" t="inlineStr">
        <is>
          <t>Yes</t>
        </is>
      </c>
      <c r="N83" t="inlineStr">
        <is>
          <t>Water point sampled; chlorination advised; community sensitised on boiling.</t>
        </is>
      </c>
    </row>
    <row r="84">
      <c r="A84" t="inlineStr">
        <is>
          <t>HC-2026-0081</t>
        </is>
      </c>
      <c r="B84" s="32" t="n">
        <v>46216</v>
      </c>
      <c r="C84" s="33">
        <f>MONTH(B84)</f>
        <v>7</v>
      </c>
      <c r="D84" t="inlineStr">
        <is>
          <t>Montserrado</t>
        </is>
      </c>
      <c r="E84" t="inlineStr">
        <is>
          <t>West Point</t>
        </is>
      </c>
      <c r="F84" t="inlineStr">
        <is>
          <t>Waste Dumping</t>
        </is>
      </c>
      <c r="G84" t="inlineStr">
        <is>
          <t>Unauthorised dumping of mixed and medical waste on vacant land; scavenging by children reported.</t>
        </is>
      </c>
      <c r="H84" s="33" t="n">
        <v>9</v>
      </c>
      <c r="I84" t="inlineStr">
        <is>
          <t>Medium</t>
        </is>
      </c>
      <c r="J84" t="inlineStr">
        <is>
          <t>Closed</t>
        </is>
      </c>
      <c r="K84" s="32" t="n">
        <v>46234</v>
      </c>
      <c r="L84" s="33">
        <f>IF(K84="","",K84-B84)</f>
        <v>18</v>
      </c>
      <c r="M84" t="inlineStr">
        <is>
          <t>No</t>
        </is>
      </c>
      <c r="N84" t="inlineStr">
        <is>
          <t>Dumpsite cleared; warning notice served; monthly surveillance added.</t>
        </is>
      </c>
    </row>
    <row r="85">
      <c r="A85" t="inlineStr">
        <is>
          <t>HC-2026-0082</t>
        </is>
      </c>
      <c r="B85" s="32" t="n">
        <v>46218</v>
      </c>
      <c r="C85" s="33">
        <f>MONTH(B85)</f>
        <v>7</v>
      </c>
      <c r="D85" t="inlineStr">
        <is>
          <t>Grand Gedeh</t>
        </is>
      </c>
      <c r="E85" t="inlineStr">
        <is>
          <t>Toe Town</t>
        </is>
      </c>
      <c r="F85" t="inlineStr">
        <is>
          <t>Drinking Water Contamination</t>
        </is>
      </c>
      <c r="G85" t="inlineStr">
        <is>
          <t>Residents report discoloured water with an odour from the community hand pump; suspected faecal contamination after heavy rain.</t>
        </is>
      </c>
      <c r="H85" s="33" t="n">
        <v>34</v>
      </c>
      <c r="I85" t="inlineStr">
        <is>
          <t>Critical</t>
        </is>
      </c>
      <c r="J85" t="inlineStr">
        <is>
          <t>Findings Presented</t>
        </is>
      </c>
      <c r="L85" s="33">
        <f>IF(K85="","",K85-B85)</f>
        <v/>
      </c>
      <c r="M85" t="inlineStr">
        <is>
          <t>Yes</t>
        </is>
      </c>
      <c r="N85" t="inlineStr">
        <is>
          <t>Water point sampled; chlorination advised; community sensitised on boiling.</t>
        </is>
      </c>
    </row>
    <row r="86">
      <c r="A86" t="inlineStr">
        <is>
          <t>HC-2026-0083</t>
        </is>
      </c>
      <c r="B86" s="32" t="n">
        <v>46229</v>
      </c>
      <c r="C86" s="33">
        <f>MONTH(B86)</f>
        <v>7</v>
      </c>
      <c r="D86" t="inlineStr">
        <is>
          <t>Grand Bassa</t>
        </is>
      </c>
      <c r="E86" t="inlineStr">
        <is>
          <t>Edina</t>
        </is>
      </c>
      <c r="F86" t="inlineStr">
        <is>
          <t>Sanitation</t>
        </is>
      </c>
      <c r="G86" t="inlineStr">
        <is>
          <t>Overflowing latrine / open defecation near a dwelling; residents report diarrhoeal illness, mostly in children under five.</t>
        </is>
      </c>
      <c r="H86" s="33" t="n">
        <v>11</v>
      </c>
      <c r="I86" t="inlineStr">
        <is>
          <t>Medium</t>
        </is>
      </c>
      <c r="J86" t="inlineStr">
        <is>
          <t>Investigating</t>
        </is>
      </c>
      <c r="L86" s="33">
        <f>IF(K86="","",K86-B86)</f>
        <v/>
      </c>
      <c r="M86" t="inlineStr">
        <is>
          <t>Yes</t>
        </is>
      </c>
      <c r="N86" t="inlineStr">
        <is>
          <t>Referred to county health team; latrine disinfection and clean-up ordered.</t>
        </is>
      </c>
    </row>
    <row r="87">
      <c r="A87" t="inlineStr">
        <is>
          <t>HC-2026-0084</t>
        </is>
      </c>
      <c r="B87" s="32" t="n">
        <v>46210</v>
      </c>
      <c r="C87" s="33">
        <f>MONTH(B87)</f>
        <v>7</v>
      </c>
      <c r="D87" t="inlineStr">
        <is>
          <t>Montserrado</t>
        </is>
      </c>
      <c r="E87" t="inlineStr">
        <is>
          <t>Paynesville</t>
        </is>
      </c>
      <c r="F87" t="inlineStr">
        <is>
          <t>Drinking Water Contamination</t>
        </is>
      </c>
      <c r="G87" t="inlineStr">
        <is>
          <t>Residents report discoloured water with an odour from the community hand pump; suspected faecal contamination after heavy rain.</t>
        </is>
      </c>
      <c r="H87" s="33" t="n">
        <v>34</v>
      </c>
      <c r="I87" t="inlineStr">
        <is>
          <t>Critical</t>
        </is>
      </c>
      <c r="J87" t="inlineStr">
        <is>
          <t>Findings Presented</t>
        </is>
      </c>
      <c r="L87" s="33">
        <f>IF(K87="","",K87-B87)</f>
        <v/>
      </c>
      <c r="M87" t="inlineStr">
        <is>
          <t>Yes</t>
        </is>
      </c>
      <c r="N87" t="inlineStr">
        <is>
          <t>Water point sampled; chlorination advised; community sensitised on boiling.</t>
        </is>
      </c>
    </row>
    <row r="88">
      <c r="A88" t="inlineStr">
        <is>
          <t>HC-2026-0085</t>
        </is>
      </c>
      <c r="B88" s="32" t="n">
        <v>46205</v>
      </c>
      <c r="C88" s="33">
        <f>MONTH(B88)</f>
        <v>7</v>
      </c>
      <c r="D88" t="inlineStr">
        <is>
          <t>Lofa</t>
        </is>
      </c>
      <c r="E88" t="inlineStr">
        <is>
          <t>Foya</t>
        </is>
      </c>
      <c r="F88" t="inlineStr">
        <is>
          <t>Drinking Water Contamination</t>
        </is>
      </c>
      <c r="G88" t="inlineStr">
        <is>
          <t>Residents report discoloured water with an odour from the public tap stand; suspected faecal contamination after heavy rain.</t>
        </is>
      </c>
      <c r="H88" s="33" t="n">
        <v>12</v>
      </c>
      <c r="I88" t="inlineStr">
        <is>
          <t>High</t>
        </is>
      </c>
      <c r="J88" t="inlineStr">
        <is>
          <t>Closed</t>
        </is>
      </c>
      <c r="K88" s="32" t="n">
        <v>46230</v>
      </c>
      <c r="L88" s="33">
        <f>IF(K88="","",K88-B88)</f>
        <v>25</v>
      </c>
      <c r="M88" t="inlineStr">
        <is>
          <t>Yes</t>
        </is>
      </c>
      <c r="N88" t="inlineStr">
        <is>
          <t>Water point sampled; chlorination advised; community sensitised on boiling.</t>
        </is>
      </c>
    </row>
    <row r="89">
      <c r="A89" t="inlineStr">
        <is>
          <t>HC-2026-0086</t>
        </is>
      </c>
      <c r="B89" s="32" t="n">
        <v>46215</v>
      </c>
      <c r="C89" s="33">
        <f>MONTH(B89)</f>
        <v>7</v>
      </c>
      <c r="D89" t="inlineStr">
        <is>
          <t>Grand Gedeh</t>
        </is>
      </c>
      <c r="E89" t="inlineStr">
        <is>
          <t>Toe Town</t>
        </is>
      </c>
      <c r="F89" t="inlineStr">
        <is>
          <t>Air Quality / Smoke &amp; Dust</t>
        </is>
      </c>
      <c r="G89" t="inlineStr">
        <is>
          <t>Dust and smoke from open burning of waste; households report coughing and eye irritation.</t>
        </is>
      </c>
      <c r="H89" s="33" t="n">
        <v>14</v>
      </c>
      <c r="I89" t="inlineStr">
        <is>
          <t>High</t>
        </is>
      </c>
      <c r="J89" t="inlineStr">
        <is>
          <t>Closed</t>
        </is>
      </c>
      <c r="K89" s="32" t="n">
        <v>46240</v>
      </c>
      <c r="L89" s="33">
        <f>IF(K89="","",K89-B89)</f>
        <v>25</v>
      </c>
      <c r="M89" t="inlineStr">
        <is>
          <t>No</t>
        </is>
      </c>
      <c r="N89" t="inlineStr">
        <is>
          <t>Air sampling conducted; operator directed to suppress dust and stop open burning.</t>
        </is>
      </c>
    </row>
    <row r="90">
      <c r="A90" t="inlineStr">
        <is>
          <t>HC-2026-0087</t>
        </is>
      </c>
      <c r="B90" s="32" t="n">
        <v>46217</v>
      </c>
      <c r="C90" s="33">
        <f>MONTH(B90)</f>
        <v>7</v>
      </c>
      <c r="D90" t="inlineStr">
        <is>
          <t>Bong</t>
        </is>
      </c>
      <c r="E90" t="inlineStr">
        <is>
          <t>Salala</t>
        </is>
      </c>
      <c r="F90" t="inlineStr">
        <is>
          <t>Waste Dumping</t>
        </is>
      </c>
      <c r="G90" t="inlineStr">
        <is>
          <t>Unauthorised dumping of mixed and medical waste on vacant land; scavenging by children reported.</t>
        </is>
      </c>
      <c r="H90" s="33" t="n">
        <v>1</v>
      </c>
      <c r="I90" t="inlineStr">
        <is>
          <t>Low</t>
        </is>
      </c>
      <c r="J90" t="inlineStr">
        <is>
          <t>Findings Presented</t>
        </is>
      </c>
      <c r="L90" s="33">
        <f>IF(K90="","",K90-B90)</f>
        <v/>
      </c>
      <c r="M90" t="inlineStr">
        <is>
          <t>No</t>
        </is>
      </c>
      <c r="N90" t="inlineStr">
        <is>
          <t>Dumpsite cleared; warning notice served; monthly surveillance added.</t>
        </is>
      </c>
    </row>
    <row r="91">
      <c r="A91" t="inlineStr">
        <is>
          <t>HC-2026-0088</t>
        </is>
      </c>
      <c r="B91" s="32" t="n">
        <v>46212</v>
      </c>
      <c r="C91" s="33">
        <f>MONTH(B91)</f>
        <v>7</v>
      </c>
      <c r="D91" t="inlineStr">
        <is>
          <t>Grand Bassa</t>
        </is>
      </c>
      <c r="E91" t="inlineStr">
        <is>
          <t>Owensgrove</t>
        </is>
      </c>
      <c r="F91" t="inlineStr">
        <is>
          <t>Drinking Water Contamination</t>
        </is>
      </c>
      <c r="G91" t="inlineStr">
        <is>
          <t>Residents report discoloured water with an odour from the shallow well; suspected faecal contamination after heavy rain.</t>
        </is>
      </c>
      <c r="H91" s="33" t="n">
        <v>18</v>
      </c>
      <c r="I91" t="inlineStr">
        <is>
          <t>High</t>
        </is>
      </c>
      <c r="J91" t="inlineStr">
        <is>
          <t>Investigating</t>
        </is>
      </c>
      <c r="L91" s="33">
        <f>IF(K91="","",K91-B91)</f>
        <v/>
      </c>
      <c r="M91" t="inlineStr">
        <is>
          <t>Yes</t>
        </is>
      </c>
      <c r="N91" t="inlineStr">
        <is>
          <t>Water point sampled; chlorination advised; community sensitised on boiling.</t>
        </is>
      </c>
    </row>
    <row r="92">
      <c r="A92" t="inlineStr">
        <is>
          <t>HC-2026-0089</t>
        </is>
      </c>
      <c r="B92" s="32" t="n">
        <v>46207</v>
      </c>
      <c r="C92" s="33">
        <f>MONTH(B92)</f>
        <v>7</v>
      </c>
      <c r="D92" t="inlineStr">
        <is>
          <t>Bong</t>
        </is>
      </c>
      <c r="E92" t="inlineStr">
        <is>
          <t>Salala</t>
        </is>
      </c>
      <c r="F92" t="inlineStr">
        <is>
          <t>Noise</t>
        </is>
      </c>
      <c r="G92" t="inlineStr">
        <is>
          <t>Continuous low-frequency noise at night from night-time haulage.</t>
        </is>
      </c>
      <c r="H92" s="33" t="n">
        <v>0</v>
      </c>
      <c r="I92" t="inlineStr">
        <is>
          <t>Low</t>
        </is>
      </c>
      <c r="J92" t="inlineStr">
        <is>
          <t>Investigating</t>
        </is>
      </c>
      <c r="L92" s="33">
        <f>IF(K92="","",K92-B92)</f>
        <v/>
      </c>
      <c r="M92" t="inlineStr">
        <is>
          <t>No</t>
        </is>
      </c>
      <c r="N92" t="inlineStr">
        <is>
          <t>Noise measurement taken; operator advised on night-time operating hours.</t>
        </is>
      </c>
    </row>
    <row r="93">
      <c r="A93" t="inlineStr">
        <is>
          <t>HC-2026-0090</t>
        </is>
      </c>
      <c r="B93" s="32" t="n">
        <v>46232</v>
      </c>
      <c r="C93" s="33">
        <f>MONTH(B93)</f>
        <v>7</v>
      </c>
      <c r="D93" t="inlineStr">
        <is>
          <t>Margibi</t>
        </is>
      </c>
      <c r="E93" t="inlineStr">
        <is>
          <t>Dolo Town</t>
        </is>
      </c>
      <c r="F93" t="inlineStr">
        <is>
          <t>Drinking Water Contamination</t>
        </is>
      </c>
      <c r="G93" t="inlineStr">
        <is>
          <t>Residents report discoloured water with an odour from the shallow well; suspected faecal contamination after heavy rain.</t>
        </is>
      </c>
      <c r="H93" s="33" t="n">
        <v>34</v>
      </c>
      <c r="I93" t="inlineStr">
        <is>
          <t>Critical</t>
        </is>
      </c>
      <c r="J93" t="inlineStr">
        <is>
          <t>Closed</t>
        </is>
      </c>
      <c r="K93" s="32" t="n">
        <v>46261</v>
      </c>
      <c r="L93" s="33">
        <f>IF(K93="","",K93-B93)</f>
        <v>29</v>
      </c>
      <c r="M93" t="inlineStr">
        <is>
          <t>Yes</t>
        </is>
      </c>
      <c r="N93" t="inlineStr">
        <is>
          <t>Water point sampled; chlorination advised; community sensitised on boiling.</t>
        </is>
      </c>
    </row>
    <row r="94">
      <c r="A94" t="inlineStr">
        <is>
          <t>HC-2026-0091</t>
        </is>
      </c>
      <c r="B94" s="32" t="n">
        <v>46214</v>
      </c>
      <c r="C94" s="33">
        <f>MONTH(B94)</f>
        <v>7</v>
      </c>
      <c r="D94" t="inlineStr">
        <is>
          <t>Nimba</t>
        </is>
      </c>
      <c r="E94" t="inlineStr">
        <is>
          <t>Saclepea</t>
        </is>
      </c>
      <c r="F94" t="inlineStr">
        <is>
          <t>Drinking Water Contamination</t>
        </is>
      </c>
      <c r="G94" t="inlineStr">
        <is>
          <t>Residents report discoloured water with an odour from the shallow well; suspected faecal contamination after heavy rain.</t>
        </is>
      </c>
      <c r="H94" s="33" t="n">
        <v>18</v>
      </c>
      <c r="I94" t="inlineStr">
        <is>
          <t>High</t>
        </is>
      </c>
      <c r="J94" t="inlineStr">
        <is>
          <t>Investigating</t>
        </is>
      </c>
      <c r="L94" s="33">
        <f>IF(K94="","",K94-B94)</f>
        <v/>
      </c>
      <c r="M94" t="inlineStr">
        <is>
          <t>Yes</t>
        </is>
      </c>
      <c r="N94" t="inlineStr">
        <is>
          <t>Water point sampled; chlorination advised; community sensitised on boiling.</t>
        </is>
      </c>
    </row>
    <row r="95">
      <c r="A95" t="inlineStr">
        <is>
          <t>HC-2026-0092</t>
        </is>
      </c>
      <c r="B95" s="32" t="n">
        <v>46222</v>
      </c>
      <c r="C95" s="33">
        <f>MONTH(B95)</f>
        <v>7</v>
      </c>
      <c r="D95" t="inlineStr">
        <is>
          <t>Grand Cape Mount</t>
        </is>
      </c>
      <c r="E95" t="inlineStr">
        <is>
          <t>Robertsport</t>
        </is>
      </c>
      <c r="F95" t="inlineStr">
        <is>
          <t>Drinking Water Contamination</t>
        </is>
      </c>
      <c r="G95" t="inlineStr">
        <is>
          <t>Residents report discoloured water with an odour from the shallow well; suspected faecal contamination after heavy rain.</t>
        </is>
      </c>
      <c r="H95" s="33" t="n">
        <v>34</v>
      </c>
      <c r="I95" t="inlineStr">
        <is>
          <t>Critical</t>
        </is>
      </c>
      <c r="J95" t="inlineStr">
        <is>
          <t>Received</t>
        </is>
      </c>
      <c r="L95" s="33">
        <f>IF(K95="","",K95-B95)</f>
        <v/>
      </c>
      <c r="M95" t="inlineStr">
        <is>
          <t>Yes</t>
        </is>
      </c>
      <c r="N95" t="inlineStr">
        <is>
          <t>Water point sampled; chlorination advised; community sensitised on boiling.</t>
        </is>
      </c>
    </row>
    <row r="96">
      <c r="A96" t="inlineStr">
        <is>
          <t>HC-2026-0093</t>
        </is>
      </c>
      <c r="B96" s="32" t="n">
        <v>46220</v>
      </c>
      <c r="C96" s="33">
        <f>MONTH(B96)</f>
        <v>7</v>
      </c>
      <c r="D96" t="inlineStr">
        <is>
          <t>Bong</t>
        </is>
      </c>
      <c r="E96" t="inlineStr">
        <is>
          <t>Totota</t>
        </is>
      </c>
      <c r="F96" t="inlineStr">
        <is>
          <t>Noise</t>
        </is>
      </c>
      <c r="G96" t="inlineStr">
        <is>
          <t>Continuous low-frequency noise at night from crushing plant.</t>
        </is>
      </c>
      <c r="H96" s="33" t="n">
        <v>2</v>
      </c>
      <c r="I96" t="inlineStr">
        <is>
          <t>Low</t>
        </is>
      </c>
      <c r="J96" t="inlineStr">
        <is>
          <t>Closed</t>
        </is>
      </c>
      <c r="K96" s="32" t="n">
        <v>46233</v>
      </c>
      <c r="L96" s="33">
        <f>IF(K96="","",K96-B96)</f>
        <v>13</v>
      </c>
      <c r="M96" t="inlineStr">
        <is>
          <t>No</t>
        </is>
      </c>
      <c r="N96" t="inlineStr">
        <is>
          <t>Noise measurement taken; operator advised on night-time operating hours.</t>
        </is>
      </c>
    </row>
    <row r="97">
      <c r="A97" t="inlineStr">
        <is>
          <t>HC-2026-0094</t>
        </is>
      </c>
      <c r="B97" s="32" t="n">
        <v>46258</v>
      </c>
      <c r="C97" s="33">
        <f>MONTH(B97)</f>
        <v>8</v>
      </c>
      <c r="D97" t="inlineStr">
        <is>
          <t>Margibi</t>
        </is>
      </c>
      <c r="E97" t="inlineStr">
        <is>
          <t>Harbel</t>
        </is>
      </c>
      <c r="F97" t="inlineStr">
        <is>
          <t>Noise</t>
        </is>
      </c>
      <c r="G97" t="inlineStr">
        <is>
          <t>Continuous low-frequency noise at night from night-time haulage.</t>
        </is>
      </c>
      <c r="H97" s="33" t="n">
        <v>1</v>
      </c>
      <c r="I97" t="inlineStr">
        <is>
          <t>Low</t>
        </is>
      </c>
      <c r="J97" t="inlineStr">
        <is>
          <t>Closed</t>
        </is>
      </c>
      <c r="K97" s="32" t="n">
        <v>46263</v>
      </c>
      <c r="L97" s="33">
        <f>IF(K97="","",K97-B97)</f>
        <v>5</v>
      </c>
      <c r="M97" t="inlineStr">
        <is>
          <t>No</t>
        </is>
      </c>
      <c r="N97" t="inlineStr">
        <is>
          <t>Noise measurement taken; operator advised on night-time operating hours.</t>
        </is>
      </c>
    </row>
    <row r="98">
      <c r="A98" t="inlineStr">
        <is>
          <t>HC-2026-0095</t>
        </is>
      </c>
      <c r="B98" s="32" t="n">
        <v>46239</v>
      </c>
      <c r="C98" s="33">
        <f>MONTH(B98)</f>
        <v>8</v>
      </c>
      <c r="D98" t="inlineStr">
        <is>
          <t>Margibi</t>
        </is>
      </c>
      <c r="E98" t="inlineStr">
        <is>
          <t>Weala</t>
        </is>
      </c>
      <c r="F98" t="inlineStr">
        <is>
          <t>Drinking Water Contamination</t>
        </is>
      </c>
      <c r="G98" t="inlineStr">
        <is>
          <t>Residents report discoloured water with an odour from the public tap stand; suspected faecal contamination after heavy rain.</t>
        </is>
      </c>
      <c r="H98" s="33" t="n">
        <v>12</v>
      </c>
      <c r="I98" t="inlineStr">
        <is>
          <t>High</t>
        </is>
      </c>
      <c r="J98" t="inlineStr">
        <is>
          <t>Findings Presented</t>
        </is>
      </c>
      <c r="L98" s="33">
        <f>IF(K98="","",K98-B98)</f>
        <v/>
      </c>
      <c r="M98" t="inlineStr">
        <is>
          <t>Yes</t>
        </is>
      </c>
      <c r="N98" t="inlineStr">
        <is>
          <t>Water point sampled; chlorination advised; community sensitised on boiling.</t>
        </is>
      </c>
    </row>
    <row r="99">
      <c r="A99" t="inlineStr">
        <is>
          <t>HC-2026-0096</t>
        </is>
      </c>
      <c r="B99" s="32" t="n">
        <v>46261</v>
      </c>
      <c r="C99" s="33">
        <f>MONTH(B99)</f>
        <v>8</v>
      </c>
      <c r="D99" t="inlineStr">
        <is>
          <t>Montserrado</t>
        </is>
      </c>
      <c r="E99" t="inlineStr">
        <is>
          <t>Gardnersville</t>
        </is>
      </c>
      <c r="F99" t="inlineStr">
        <is>
          <t>Sanitation</t>
        </is>
      </c>
      <c r="G99" t="inlineStr">
        <is>
          <t>Overflowing latrine / open defecation near a dwelling; residents report diarrhoeal illness, mostly in children under five.</t>
        </is>
      </c>
      <c r="H99" s="33" t="n">
        <v>3</v>
      </c>
      <c r="I99" t="inlineStr">
        <is>
          <t>Medium</t>
        </is>
      </c>
      <c r="J99" t="inlineStr">
        <is>
          <t>Closed</t>
        </is>
      </c>
      <c r="K99" s="32" t="n">
        <v>46290</v>
      </c>
      <c r="L99" s="33">
        <f>IF(K99="","",K99-B99)</f>
        <v>29</v>
      </c>
      <c r="M99" t="inlineStr">
        <is>
          <t>Yes</t>
        </is>
      </c>
      <c r="N99" t="inlineStr">
        <is>
          <t>Referred to county health team; latrine disinfection and clean-up ordered.</t>
        </is>
      </c>
    </row>
    <row r="100">
      <c r="A100" t="inlineStr">
        <is>
          <t>HC-2026-0097</t>
        </is>
      </c>
      <c r="B100" s="32" t="n">
        <v>46245</v>
      </c>
      <c r="C100" s="33">
        <f>MONTH(B100)</f>
        <v>8</v>
      </c>
      <c r="D100" t="inlineStr">
        <is>
          <t>Montserrado</t>
        </is>
      </c>
      <c r="E100" t="inlineStr">
        <is>
          <t>Sinkor</t>
        </is>
      </c>
      <c r="F100" t="inlineStr">
        <is>
          <t>Sanitation</t>
        </is>
      </c>
      <c r="G100" t="inlineStr">
        <is>
          <t>Overflowing latrine / open defecation near a dwelling; residents report diarrhoeal illness, mostly in children under five.</t>
        </is>
      </c>
      <c r="H100" s="33" t="n">
        <v>6</v>
      </c>
      <c r="I100" t="inlineStr">
        <is>
          <t>Medium</t>
        </is>
      </c>
      <c r="J100" t="inlineStr">
        <is>
          <t>Closed</t>
        </is>
      </c>
      <c r="K100" s="32" t="n">
        <v>46278</v>
      </c>
      <c r="L100" s="33">
        <f>IF(K100="","",K100-B100)</f>
        <v>33</v>
      </c>
      <c r="M100" t="inlineStr">
        <is>
          <t>Yes</t>
        </is>
      </c>
      <c r="N100" t="inlineStr">
        <is>
          <t>Referred to county health team; latrine disinfection and clean-up ordered.</t>
        </is>
      </c>
    </row>
    <row r="101">
      <c r="A101" t="inlineStr">
        <is>
          <t>HC-2026-0098</t>
        </is>
      </c>
      <c r="B101" s="32" t="n">
        <v>46241</v>
      </c>
      <c r="C101" s="33">
        <f>MONTH(B101)</f>
        <v>8</v>
      </c>
      <c r="D101" t="inlineStr">
        <is>
          <t>Montserrado</t>
        </is>
      </c>
      <c r="E101" t="inlineStr">
        <is>
          <t>Sinkor</t>
        </is>
      </c>
      <c r="F101" t="inlineStr">
        <is>
          <t>Chemical Exposure</t>
        </is>
      </c>
      <c r="G101" t="inlineStr">
        <is>
          <t>Possible chemical exposure reported after handling of unlabelled containers at a nearby facility.</t>
        </is>
      </c>
      <c r="H101" s="33" t="n">
        <v>4</v>
      </c>
      <c r="I101" t="inlineStr">
        <is>
          <t>Medium</t>
        </is>
      </c>
      <c r="J101" t="inlineStr">
        <is>
          <t>Closed</t>
        </is>
      </c>
      <c r="K101" s="32" t="n">
        <v>46273</v>
      </c>
      <c r="L101" s="33">
        <f>IF(K101="","",K101-B101)</f>
        <v>32</v>
      </c>
      <c r="M101" t="inlineStr">
        <is>
          <t>No</t>
        </is>
      </c>
      <c r="N101" t="inlineStr">
        <is>
          <t>Site visited with Chemical Unit; containers secured for inventory audit.</t>
        </is>
      </c>
    </row>
    <row r="102">
      <c r="A102" t="inlineStr">
        <is>
          <t>HC-2026-0099</t>
        </is>
      </c>
      <c r="B102" s="32" t="n">
        <v>46249</v>
      </c>
      <c r="C102" s="33">
        <f>MONTH(B102)</f>
        <v>8</v>
      </c>
      <c r="D102" t="inlineStr">
        <is>
          <t>Maryland</t>
        </is>
      </c>
      <c r="E102" t="inlineStr">
        <is>
          <t>Pleebo</t>
        </is>
      </c>
      <c r="F102" t="inlineStr">
        <is>
          <t>Drinking Water Contamination</t>
        </is>
      </c>
      <c r="G102" t="inlineStr">
        <is>
          <t>Residents report discoloured water with an odour from the shallow well; suspected faecal contamination after heavy rain.</t>
        </is>
      </c>
      <c r="H102" s="33" t="n">
        <v>4</v>
      </c>
      <c r="I102" t="inlineStr">
        <is>
          <t>Medium</t>
        </is>
      </c>
      <c r="J102" t="inlineStr">
        <is>
          <t>Received</t>
        </is>
      </c>
      <c r="L102" s="33">
        <f>IF(K102="","",K102-B102)</f>
        <v/>
      </c>
      <c r="M102" t="inlineStr">
        <is>
          <t>Yes</t>
        </is>
      </c>
      <c r="N102" t="inlineStr">
        <is>
          <t>Water point sampled; chlorination advised; community sensitised on boiling.</t>
        </is>
      </c>
    </row>
    <row r="103">
      <c r="A103" t="inlineStr">
        <is>
          <t>HC-2026-0100</t>
        </is>
      </c>
      <c r="B103" s="32" t="n">
        <v>46252</v>
      </c>
      <c r="C103" s="33">
        <f>MONTH(B103)</f>
        <v>8</v>
      </c>
      <c r="D103" t="inlineStr">
        <is>
          <t>Bomi</t>
        </is>
      </c>
      <c r="E103" t="inlineStr">
        <is>
          <t>Klay</t>
        </is>
      </c>
      <c r="F103" t="inlineStr">
        <is>
          <t>Drinking Water Contamination</t>
        </is>
      </c>
      <c r="G103" t="inlineStr">
        <is>
          <t>Residents report discoloured water with an odour from the public tap stand; suspected faecal contamination after heavy rain.</t>
        </is>
      </c>
      <c r="H103" s="33" t="n">
        <v>0</v>
      </c>
      <c r="I103" t="inlineStr">
        <is>
          <t>Low</t>
        </is>
      </c>
      <c r="J103" t="inlineStr">
        <is>
          <t>Closed</t>
        </is>
      </c>
      <c r="K103" s="32" t="n">
        <v>46266</v>
      </c>
      <c r="L103" s="33">
        <f>IF(K103="","",K103-B103)</f>
        <v>14</v>
      </c>
      <c r="M103" t="inlineStr">
        <is>
          <t>No</t>
        </is>
      </c>
      <c r="N103" t="inlineStr">
        <is>
          <t>Water point sampled; chlorination advised; community sensitised on boiling.</t>
        </is>
      </c>
    </row>
    <row r="104">
      <c r="A104" t="inlineStr">
        <is>
          <t>HC-2026-0101</t>
        </is>
      </c>
      <c r="B104" s="32" t="n">
        <v>46265</v>
      </c>
      <c r="C104" s="33">
        <f>MONTH(B104)</f>
        <v>8</v>
      </c>
      <c r="D104" t="inlineStr">
        <is>
          <t>Margibi</t>
        </is>
      </c>
      <c r="E104" t="inlineStr">
        <is>
          <t>Harbel</t>
        </is>
      </c>
      <c r="F104" t="inlineStr">
        <is>
          <t>Air Quality / Smoke &amp; Dust</t>
        </is>
      </c>
      <c r="G104" t="inlineStr">
        <is>
          <t>Dust and smoke from open burning of waste; households report coughing and eye irritation.</t>
        </is>
      </c>
      <c r="H104" s="33" t="n">
        <v>2</v>
      </c>
      <c r="I104" t="inlineStr">
        <is>
          <t>Low</t>
        </is>
      </c>
      <c r="J104" t="inlineStr">
        <is>
          <t>Received</t>
        </is>
      </c>
      <c r="L104" s="33">
        <f>IF(K104="","",K104-B104)</f>
        <v/>
      </c>
      <c r="M104" t="inlineStr">
        <is>
          <t>No</t>
        </is>
      </c>
      <c r="N104" t="inlineStr">
        <is>
          <t>Air sampling conducted; operator directed to suppress dust and stop open burning.</t>
        </is>
      </c>
    </row>
    <row r="105">
      <c r="A105" t="inlineStr">
        <is>
          <t>HC-2026-0102</t>
        </is>
      </c>
      <c r="B105" s="32" t="n">
        <v>46250</v>
      </c>
      <c r="C105" s="33">
        <f>MONTH(B105)</f>
        <v>8</v>
      </c>
      <c r="D105" t="inlineStr">
        <is>
          <t>Nimba</t>
        </is>
      </c>
      <c r="E105" t="inlineStr">
        <is>
          <t>Butuo</t>
        </is>
      </c>
      <c r="F105" t="inlineStr">
        <is>
          <t>Sanitation</t>
        </is>
      </c>
      <c r="G105" t="inlineStr">
        <is>
          <t>Overflowing latrine / open defecation near a dwelling; residents report diarrhoeal illness, mostly in children under five.</t>
        </is>
      </c>
      <c r="H105" s="33" t="n">
        <v>0</v>
      </c>
      <c r="I105" t="inlineStr">
        <is>
          <t>Low</t>
        </is>
      </c>
      <c r="J105" t="inlineStr">
        <is>
          <t>Closed</t>
        </is>
      </c>
      <c r="K105" s="32" t="n">
        <v>46275</v>
      </c>
      <c r="L105" s="33">
        <f>IF(K105="","",K105-B105)</f>
        <v>25</v>
      </c>
      <c r="M105" t="inlineStr">
        <is>
          <t>No</t>
        </is>
      </c>
      <c r="N105" t="inlineStr">
        <is>
          <t>Referred to county health team; latrine disinfection and clean-up ordered.</t>
        </is>
      </c>
    </row>
    <row r="106">
      <c r="A106" t="inlineStr">
        <is>
          <t>HC-2026-0103</t>
        </is>
      </c>
      <c r="B106" s="32" t="n">
        <v>46258</v>
      </c>
      <c r="C106" s="33">
        <f>MONTH(B106)</f>
        <v>8</v>
      </c>
      <c r="D106" t="inlineStr">
        <is>
          <t>Montserrado</t>
        </is>
      </c>
      <c r="E106" t="inlineStr">
        <is>
          <t>Brewerville</t>
        </is>
      </c>
      <c r="F106" t="inlineStr">
        <is>
          <t>Drinking Water Contamination</t>
        </is>
      </c>
      <c r="G106" t="inlineStr">
        <is>
          <t>Residents report discoloured water with an odour from the community hand pump; suspected faecal contamination after heavy rain.</t>
        </is>
      </c>
      <c r="H106" s="33" t="n">
        <v>8</v>
      </c>
      <c r="I106" t="inlineStr">
        <is>
          <t>Medium</t>
        </is>
      </c>
      <c r="J106" t="inlineStr">
        <is>
          <t>Investigating</t>
        </is>
      </c>
      <c r="L106" s="33">
        <f>IF(K106="","",K106-B106)</f>
        <v/>
      </c>
      <c r="M106" t="inlineStr">
        <is>
          <t>Yes</t>
        </is>
      </c>
      <c r="N106" t="inlineStr">
        <is>
          <t>Water point sampled; chlorination advised; community sensitised on boiling.</t>
        </is>
      </c>
    </row>
    <row r="107">
      <c r="A107" t="inlineStr">
        <is>
          <t>HC-2026-0104</t>
        </is>
      </c>
      <c r="B107" s="32" t="n">
        <v>46261</v>
      </c>
      <c r="C107" s="33">
        <f>MONTH(B107)</f>
        <v>8</v>
      </c>
      <c r="D107" t="inlineStr">
        <is>
          <t>Montserrado</t>
        </is>
      </c>
      <c r="E107" t="inlineStr">
        <is>
          <t>Caldwell</t>
        </is>
      </c>
      <c r="F107" t="inlineStr">
        <is>
          <t>Noise</t>
        </is>
      </c>
      <c r="G107" t="inlineStr">
        <is>
          <t>Continuous low-frequency noise at night from a generator set.</t>
        </is>
      </c>
      <c r="H107" s="33" t="n">
        <v>0</v>
      </c>
      <c r="I107" t="inlineStr">
        <is>
          <t>Low</t>
        </is>
      </c>
      <c r="J107" t="inlineStr">
        <is>
          <t>Closed</t>
        </is>
      </c>
      <c r="K107" s="32" t="n">
        <v>46269</v>
      </c>
      <c r="L107" s="33">
        <f>IF(K107="","",K107-B107)</f>
        <v>8</v>
      </c>
      <c r="M107" t="inlineStr">
        <is>
          <t>No</t>
        </is>
      </c>
      <c r="N107" t="inlineStr">
        <is>
          <t>Noise measurement taken; operator advised on night-time operating hours.</t>
        </is>
      </c>
    </row>
    <row r="108">
      <c r="A108" t="inlineStr">
        <is>
          <t>HC-2026-0105</t>
        </is>
      </c>
      <c r="B108" s="32" t="n">
        <v>46265</v>
      </c>
      <c r="C108" s="33">
        <f>MONTH(B108)</f>
        <v>8</v>
      </c>
      <c r="D108" t="inlineStr">
        <is>
          <t>Sinoe</t>
        </is>
      </c>
      <c r="E108" t="inlineStr">
        <is>
          <t>Juazon</t>
        </is>
      </c>
      <c r="F108" t="inlineStr">
        <is>
          <t>Chemical Exposure</t>
        </is>
      </c>
      <c r="G108" t="inlineStr">
        <is>
          <t>Possible chemical exposure reported after handling of unlabelled containers at a nearby facility.</t>
        </is>
      </c>
      <c r="H108" s="33" t="n">
        <v>2</v>
      </c>
      <c r="I108" t="inlineStr">
        <is>
          <t>Low</t>
        </is>
      </c>
      <c r="J108" t="inlineStr">
        <is>
          <t>Closed</t>
        </is>
      </c>
      <c r="K108" s="32" t="n">
        <v>46293</v>
      </c>
      <c r="L108" s="33">
        <f>IF(K108="","",K108-B108)</f>
        <v>28</v>
      </c>
      <c r="M108" t="inlineStr">
        <is>
          <t>No</t>
        </is>
      </c>
      <c r="N108" t="inlineStr">
        <is>
          <t>Site visited with Chemical Unit; containers secured for inventory audit.</t>
        </is>
      </c>
    </row>
  </sheetData>
  <mergeCells count="2">
    <mergeCell ref="A2:N2"/>
    <mergeCell ref="A1:N1"/>
  </mergeCells>
  <conditionalFormatting sqref="H4:H108">
    <cfRule type="colorScale" priority="1">
      <colorScale>
        <cfvo type="num" val="0"/>
        <cfvo type="num" val="15"/>
        <cfvo type="num" val="60"/>
        <color rgb="00FFFFFF"/>
        <color rgb="00FFE9B0"/>
        <color rgb="00F4A79C"/>
      </colorScale>
    </cfRule>
  </conditionalFormatting>
  <conditionalFormatting sqref="I4:I108">
    <cfRule type="cellIs" priority="2" operator="equal" dxfId="0">
      <formula>"Critical"</formula>
    </cfRule>
    <cfRule type="cellIs" priority="3" operator="equal" dxfId="2">
      <formula>"High"</formula>
    </cfRule>
  </conditionalFormatting>
  <conditionalFormatting sqref="J4:J108">
    <cfRule type="cellIs" priority="4" operator="equal" dxfId="3">
      <formula>"Closed"</formula>
    </cfRule>
    <cfRule type="cellIs" priority="5" operator="equal" dxfId="4">
      <formula>"Received"</formula>
    </cfRule>
  </conditionalFormatting>
  <conditionalFormatting sqref="L4:L108">
    <cfRule type="cellIs" priority="6" operator="greaterThan" dxfId="1">
      <formula>30</formula>
    </cfRule>
  </conditionalFormatting>
  <dataValidations count="4">
    <dataValidation sqref="D4:D308" showDropDown="0" showInputMessage="0" showErrorMessage="0" allowBlank="1" type="list">
      <formula1>CountyList</formula1>
    </dataValidation>
    <dataValidation sqref="F4:F308" showDropDown="0" showInputMessage="0" showErrorMessage="0" allowBlank="1" type="list">
      <formula1>ComplaintTypeList</formula1>
    </dataValidation>
    <dataValidation sqref="I4:I308" showDropDown="0" showInputMessage="0" showErrorMessage="0" allowBlank="1" type="list">
      <formula1>SeverityList</formula1>
    </dataValidation>
    <dataValidation sqref="J4:J308" showDropDown="0" showInputMessage="0" showErrorMessage="0" allowBlank="1" type="list">
      <formula1>ComplaintStatusList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85"/>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7" customWidth="1" min="3" max="3"/>
    <col width="16" customWidth="1" min="4" max="4"/>
    <col width="38" customWidth="1" min="5" max="5"/>
    <col width="21" customWidth="1" min="6" max="6"/>
    <col width="15" customWidth="1" min="7" max="7"/>
    <col width="12" customWidth="1" min="8" max="8"/>
    <col width="62" customWidth="1" min="9" max="9"/>
    <col width="12" customWidth="1" min="10" max="10"/>
    <col width="12" customWidth="1" min="11" max="11"/>
    <col width="16" customWidth="1" min="12" max="12"/>
  </cols>
  <sheetData>
    <row r="1" ht="26" customHeight="1">
      <c r="A1" s="29" t="inlineStr">
        <is>
          <t>Facility Inspections - Environmental Health Risk</t>
        </is>
      </c>
    </row>
    <row r="2" ht="15" customHeight="1">
      <c r="A2" s="30" t="inlineStr">
        <is>
          <t>One row per inspection. Health Risk Score is the inspecting officer's assessment: 1-3 low, 4-6 moderate, 7-10 high.</t>
        </is>
      </c>
    </row>
    <row r="3" ht="30" customHeight="1">
      <c r="A3" s="31" t="inlineStr">
        <is>
          <t>Inspection ID</t>
        </is>
      </c>
      <c r="B3" s="31" t="inlineStr">
        <is>
          <t>Inspection Date</t>
        </is>
      </c>
      <c r="C3" s="31" t="inlineStr">
        <is>
          <t>Month</t>
        </is>
      </c>
      <c r="D3" s="31" t="inlineStr">
        <is>
          <t>County</t>
        </is>
      </c>
      <c r="E3" s="31" t="inlineStr">
        <is>
          <t>Facility</t>
        </is>
      </c>
      <c r="F3" s="31" t="inlineStr">
        <is>
          <t>Facility Type</t>
        </is>
      </c>
      <c r="G3" s="31" t="inlineStr">
        <is>
          <t>Outcome</t>
        </is>
      </c>
      <c r="H3" s="31" t="inlineStr">
        <is>
          <t>Health Risk Score (1-10)</t>
        </is>
      </c>
      <c r="I3" s="31" t="inlineStr">
        <is>
          <t>Key Findings</t>
        </is>
      </c>
      <c r="J3" s="31" t="inlineStr">
        <is>
          <t>Follow-up Required</t>
        </is>
      </c>
      <c r="K3" s="31" t="inlineStr">
        <is>
          <t>Follow-up Complete</t>
        </is>
      </c>
      <c r="L3" s="31" t="inlineStr">
        <is>
          <t>Inspector</t>
        </is>
      </c>
    </row>
    <row r="4">
      <c r="A4" t="inlineStr">
        <is>
          <t>SI-2026-0001</t>
        </is>
      </c>
      <c r="B4" s="32" t="n">
        <v>46034</v>
      </c>
      <c r="C4" s="33">
        <f>MONTH(B4)</f>
        <v>1</v>
      </c>
      <c r="D4" t="inlineStr">
        <is>
          <t>Montserrado</t>
        </is>
      </c>
      <c r="E4" t="inlineStr">
        <is>
          <t>ArcelorMittal Buchanan</t>
        </is>
      </c>
      <c r="F4" t="inlineStr">
        <is>
          <t>Industrial Plant</t>
        </is>
      </c>
      <c r="G4" t="inlineStr">
        <is>
          <t>Compliant</t>
        </is>
      </c>
      <c r="H4" s="33" t="n">
        <v>3</v>
      </c>
      <c r="I4" t="inlineStr">
        <is>
          <t>Limits and record-keeping in order; no corrective action required.</t>
        </is>
      </c>
      <c r="J4" t="inlineStr">
        <is>
          <t>No</t>
        </is>
      </c>
      <c r="K4" t="inlineStr">
        <is>
          <t>No</t>
        </is>
      </c>
      <c r="L4" t="inlineStr">
        <is>
          <t>S. Dolo</t>
        </is>
      </c>
    </row>
    <row r="5">
      <c r="A5" t="inlineStr">
        <is>
          <t>SI-2026-0002</t>
        </is>
      </c>
      <c r="B5" s="32" t="n">
        <v>46042</v>
      </c>
      <c r="C5" s="33">
        <f>MONTH(B5)</f>
        <v>1</v>
      </c>
      <c r="D5" t="inlineStr">
        <is>
          <t>Bong</t>
        </is>
      </c>
      <c r="E5" t="inlineStr">
        <is>
          <t>Gbarnga Community Water Point</t>
        </is>
      </c>
      <c r="F5" t="inlineStr">
        <is>
          <t>Water Treatment / Supply</t>
        </is>
      </c>
      <c r="G5" t="inlineStr">
        <is>
          <t>Non-Compliant</t>
        </is>
      </c>
      <c r="H5" s="33" t="n">
        <v>7</v>
      </c>
      <c r="I5" t="inlineStr">
        <is>
          <t>Radiation warning signage and access control missing at source store.</t>
        </is>
      </c>
      <c r="J5" t="inlineStr">
        <is>
          <t>Yes</t>
        </is>
      </c>
      <c r="K5" t="inlineStr">
        <is>
          <t>Yes</t>
        </is>
      </c>
      <c r="L5" t="inlineStr">
        <is>
          <t>L. Gbessay</t>
        </is>
      </c>
    </row>
    <row r="6">
      <c r="A6" t="inlineStr">
        <is>
          <t>SI-2026-0003</t>
        </is>
      </c>
      <c r="B6" s="32" t="n">
        <v>46053</v>
      </c>
      <c r="C6" s="33">
        <f>MONTH(B6)</f>
        <v>1</v>
      </c>
      <c r="D6" t="inlineStr">
        <is>
          <t>Grand Cape Mount</t>
        </is>
      </c>
      <c r="E6" t="inlineStr">
        <is>
          <t>Robertsport Community Water Point</t>
        </is>
      </c>
      <c r="F6" t="inlineStr">
        <is>
          <t>Water Treatment / Supply</t>
        </is>
      </c>
      <c r="G6" t="inlineStr">
        <is>
          <t>Non-Compliant</t>
        </is>
      </c>
      <c r="H6" s="33" t="n">
        <v>7</v>
      </c>
      <c r="I6" t="inlineStr">
        <is>
          <t>Waste stored uncovered on site; corrective action plan requested.</t>
        </is>
      </c>
      <c r="J6" t="inlineStr">
        <is>
          <t>Yes</t>
        </is>
      </c>
      <c r="K6" t="inlineStr">
        <is>
          <t>Yes</t>
        </is>
      </c>
      <c r="L6" t="inlineStr">
        <is>
          <t>L. Gbessay</t>
        </is>
      </c>
    </row>
    <row r="7">
      <c r="A7" t="inlineStr">
        <is>
          <t>SI-2026-0004</t>
        </is>
      </c>
      <c r="B7" s="32" t="n">
        <v>46033</v>
      </c>
      <c r="C7" s="33">
        <f>MONTH(B7)</f>
        <v>1</v>
      </c>
      <c r="D7" t="inlineStr">
        <is>
          <t>Bong</t>
        </is>
      </c>
      <c r="E7" t="inlineStr">
        <is>
          <t>Cavalla Rubber Corporation</t>
        </is>
      </c>
      <c r="F7" t="inlineStr">
        <is>
          <t>Industrial Plant</t>
        </is>
      </c>
      <c r="G7" t="inlineStr">
        <is>
          <t>Compliant</t>
        </is>
      </c>
      <c r="H7" s="33" t="n">
        <v>3</v>
      </c>
      <c r="I7" t="inlineStr">
        <is>
          <t>Monitoring records complete for the period under review.</t>
        </is>
      </c>
      <c r="J7" t="inlineStr">
        <is>
          <t>No</t>
        </is>
      </c>
      <c r="K7" t="inlineStr">
        <is>
          <t>No</t>
        </is>
      </c>
      <c r="L7" t="inlineStr">
        <is>
          <t>D. Yarkpawolo</t>
        </is>
      </c>
    </row>
    <row r="8">
      <c r="A8" t="inlineStr">
        <is>
          <t>SI-2026-0005</t>
        </is>
      </c>
      <c r="B8" s="32" t="n">
        <v>46051</v>
      </c>
      <c r="C8" s="33">
        <f>MONTH(B8)</f>
        <v>1</v>
      </c>
      <c r="D8" t="inlineStr">
        <is>
          <t>Montserrado</t>
        </is>
      </c>
      <c r="E8" t="inlineStr">
        <is>
          <t>West Point Community Water Point</t>
        </is>
      </c>
      <c r="F8" t="inlineStr">
        <is>
          <t>School</t>
        </is>
      </c>
      <c r="G8" t="inlineStr">
        <is>
          <t>Compliant</t>
        </is>
      </c>
      <c r="H8" s="33" t="n">
        <v>3</v>
      </c>
      <c r="I8" t="inlineStr">
        <is>
          <t>Limits and record-keeping in order; no corrective action required.</t>
        </is>
      </c>
      <c r="J8" t="inlineStr">
        <is>
          <t>No</t>
        </is>
      </c>
      <c r="K8" t="inlineStr">
        <is>
          <t>No</t>
        </is>
      </c>
      <c r="L8" t="inlineStr">
        <is>
          <t>L. Gbessay</t>
        </is>
      </c>
    </row>
    <row r="9">
      <c r="A9" t="inlineStr">
        <is>
          <t>SI-2026-0006</t>
        </is>
      </c>
      <c r="B9" s="32" t="n">
        <v>46026</v>
      </c>
      <c r="C9" s="33">
        <f>MONTH(B9)</f>
        <v>1</v>
      </c>
      <c r="D9" t="inlineStr">
        <is>
          <t>Montserrado</t>
        </is>
      </c>
      <c r="E9" t="inlineStr">
        <is>
          <t>Firestone Rubber Plantation</t>
        </is>
      </c>
      <c r="F9" t="inlineStr">
        <is>
          <t>Mining Site</t>
        </is>
      </c>
      <c r="G9" t="inlineStr">
        <is>
          <t>Compliant</t>
        </is>
      </c>
      <c r="H9" s="33" t="n">
        <v>2</v>
      </c>
      <c r="I9" t="inlineStr">
        <is>
          <t>Monitoring records complete for the period under review.</t>
        </is>
      </c>
      <c r="J9" t="inlineStr">
        <is>
          <t>No</t>
        </is>
      </c>
      <c r="K9" t="inlineStr">
        <is>
          <t>No</t>
        </is>
      </c>
      <c r="L9" t="inlineStr">
        <is>
          <t>A. Kollie</t>
        </is>
      </c>
    </row>
    <row r="10">
      <c r="A10" t="inlineStr">
        <is>
          <t>SI-2026-0007</t>
        </is>
      </c>
      <c r="B10" s="32" t="n">
        <v>46027</v>
      </c>
      <c r="C10" s="33">
        <f>MONTH(B10)</f>
        <v>1</v>
      </c>
      <c r="D10" t="inlineStr">
        <is>
          <t>Grand Bassa</t>
        </is>
      </c>
      <c r="E10" t="inlineStr">
        <is>
          <t>Edina Health Center</t>
        </is>
      </c>
      <c r="F10" t="inlineStr">
        <is>
          <t>Hospital / Clinic</t>
        </is>
      </c>
      <c r="G10" t="inlineStr">
        <is>
          <t>Non-Compliant</t>
        </is>
      </c>
      <c r="H10" s="33" t="n">
        <v>10</v>
      </c>
      <c r="I10" t="inlineStr">
        <is>
          <t>Water supply point unprotected; risk of contamination confirmed.</t>
        </is>
      </c>
      <c r="J10" t="inlineStr">
        <is>
          <t>Yes</t>
        </is>
      </c>
      <c r="K10" t="inlineStr">
        <is>
          <t>No</t>
        </is>
      </c>
      <c r="L10" t="inlineStr">
        <is>
          <t>M. Toe</t>
        </is>
      </c>
    </row>
    <row r="11">
      <c r="A11" t="inlineStr">
        <is>
          <t>SI-2026-0008</t>
        </is>
      </c>
      <c r="B11" s="32" t="n">
        <v>46044</v>
      </c>
      <c r="C11" s="33">
        <f>MONTH(B11)</f>
        <v>1</v>
      </c>
      <c r="D11" t="inlineStr">
        <is>
          <t>Grand Bassa</t>
        </is>
      </c>
      <c r="E11" t="inlineStr">
        <is>
          <t>Bea Mountain Mining</t>
        </is>
      </c>
      <c r="F11" t="inlineStr">
        <is>
          <t>Mining Site</t>
        </is>
      </c>
      <c r="G11" t="inlineStr">
        <is>
          <t>Non-Compliant</t>
        </is>
      </c>
      <c r="H11" s="33" t="n">
        <v>8</v>
      </c>
      <c r="I11" t="inlineStr">
        <is>
          <t>Waste stored uncovered on site; corrective action plan requested.</t>
        </is>
      </c>
      <c r="J11" t="inlineStr">
        <is>
          <t>Yes</t>
        </is>
      </c>
      <c r="K11" t="inlineStr">
        <is>
          <t>No</t>
        </is>
      </c>
      <c r="L11" t="inlineStr">
        <is>
          <t>D. Yarkpawolo</t>
        </is>
      </c>
    </row>
    <row r="12">
      <c r="A12" t="inlineStr">
        <is>
          <t>SI-2026-0009</t>
        </is>
      </c>
      <c r="B12" s="32" t="n">
        <v>46045</v>
      </c>
      <c r="C12" s="33">
        <f>MONTH(B12)</f>
        <v>1</v>
      </c>
      <c r="D12" t="inlineStr">
        <is>
          <t>Gbarpolu</t>
        </is>
      </c>
      <c r="E12" t="inlineStr">
        <is>
          <t>Kongba Community Water Point</t>
        </is>
      </c>
      <c r="F12" t="inlineStr">
        <is>
          <t>Water Treatment / Supply</t>
        </is>
      </c>
      <c r="G12" t="inlineStr">
        <is>
          <t>Compliant</t>
        </is>
      </c>
      <c r="H12" s="33" t="n">
        <v>4</v>
      </c>
      <c r="I12" t="inlineStr">
        <is>
          <t>Monitoring records complete for the period under review.</t>
        </is>
      </c>
      <c r="J12" t="inlineStr">
        <is>
          <t>No</t>
        </is>
      </c>
      <c r="K12" t="inlineStr">
        <is>
          <t>No</t>
        </is>
      </c>
      <c r="L12" t="inlineStr">
        <is>
          <t>F. Gbato</t>
        </is>
      </c>
    </row>
    <row r="13">
      <c r="A13" t="inlineStr">
        <is>
          <t>SI-2026-0010</t>
        </is>
      </c>
      <c r="B13" s="32" t="n">
        <v>46030</v>
      </c>
      <c r="C13" s="33">
        <f>MONTH(B13)</f>
        <v>1</v>
      </c>
      <c r="D13" t="inlineStr">
        <is>
          <t>Bomi</t>
        </is>
      </c>
      <c r="E13" t="inlineStr">
        <is>
          <t>Nimba Western Range Iron Ore</t>
        </is>
      </c>
      <c r="F13" t="inlineStr">
        <is>
          <t>Industrial Plant</t>
        </is>
      </c>
      <c r="G13" t="inlineStr">
        <is>
          <t>Compliant</t>
        </is>
      </c>
      <c r="H13" s="33" t="n">
        <v>2</v>
      </c>
      <c r="I13" t="inlineStr">
        <is>
          <t>Minor housekeeping notes given; no compliance gap identified.</t>
        </is>
      </c>
      <c r="J13" t="inlineStr">
        <is>
          <t>No</t>
        </is>
      </c>
      <c r="K13" t="inlineStr">
        <is>
          <t>No</t>
        </is>
      </c>
      <c r="L13" t="inlineStr">
        <is>
          <t>S. Dolo</t>
        </is>
      </c>
    </row>
    <row r="14">
      <c r="A14" t="inlineStr">
        <is>
          <t>SI-2026-0011</t>
        </is>
      </c>
      <c r="B14" s="32" t="n">
        <v>46051</v>
      </c>
      <c r="C14" s="33">
        <f>MONTH(B14)</f>
        <v>1</v>
      </c>
      <c r="D14" t="inlineStr">
        <is>
          <t>Nimba</t>
        </is>
      </c>
      <c r="E14" t="inlineStr">
        <is>
          <t>Liberia Petroleum Refinery</t>
        </is>
      </c>
      <c r="F14" t="inlineStr">
        <is>
          <t>Industrial Plant</t>
        </is>
      </c>
      <c r="G14" t="inlineStr">
        <is>
          <t>Compliant</t>
        </is>
      </c>
      <c r="H14" s="33" t="n">
        <v>2</v>
      </c>
      <c r="I14" t="inlineStr">
        <is>
          <t>Monitoring records complete for the period under review.</t>
        </is>
      </c>
      <c r="J14" t="inlineStr">
        <is>
          <t>No</t>
        </is>
      </c>
      <c r="K14" t="inlineStr">
        <is>
          <t>No</t>
        </is>
      </c>
      <c r="L14" t="inlineStr">
        <is>
          <t>M. Toe</t>
        </is>
      </c>
    </row>
    <row r="15">
      <c r="A15" t="inlineStr">
        <is>
          <t>SI-2026-0012</t>
        </is>
      </c>
      <c r="B15" s="32" t="n">
        <v>46057</v>
      </c>
      <c r="C15" s="33">
        <f>MONTH(B15)</f>
        <v>2</v>
      </c>
      <c r="D15" t="inlineStr">
        <is>
          <t>Grand Bassa</t>
        </is>
      </c>
      <c r="E15" t="inlineStr">
        <is>
          <t>Buchanan Government Hospital</t>
        </is>
      </c>
      <c r="F15" t="inlineStr">
        <is>
          <t>Hospital / Clinic</t>
        </is>
      </c>
      <c r="G15" t="inlineStr">
        <is>
          <t>Compliant</t>
        </is>
      </c>
      <c r="H15" s="33" t="n">
        <v>3</v>
      </c>
      <c r="I15" t="inlineStr">
        <is>
          <t>Minor housekeeping notes given; no compliance gap identified.</t>
        </is>
      </c>
      <c r="J15" t="inlineStr">
        <is>
          <t>No</t>
        </is>
      </c>
      <c r="K15" t="inlineStr">
        <is>
          <t>No</t>
        </is>
      </c>
      <c r="L15" t="inlineStr">
        <is>
          <t>M. Toe</t>
        </is>
      </c>
    </row>
    <row r="16">
      <c r="A16" t="inlineStr">
        <is>
          <t>SI-2026-0013</t>
        </is>
      </c>
      <c r="B16" s="32" t="n">
        <v>46056</v>
      </c>
      <c r="C16" s="33">
        <f>MONTH(B16)</f>
        <v>2</v>
      </c>
      <c r="D16" t="inlineStr">
        <is>
          <t>Nimba</t>
        </is>
      </c>
      <c r="E16" t="inlineStr">
        <is>
          <t>Karnplay Community Water Point</t>
        </is>
      </c>
      <c r="F16" t="inlineStr">
        <is>
          <t>School</t>
        </is>
      </c>
      <c r="G16" t="inlineStr">
        <is>
          <t>Compliant</t>
        </is>
      </c>
      <c r="H16" s="33" t="n">
        <v>2</v>
      </c>
      <c r="I16" t="inlineStr">
        <is>
          <t>Minor housekeeping notes given; no compliance gap identified.</t>
        </is>
      </c>
      <c r="J16" t="inlineStr">
        <is>
          <t>No</t>
        </is>
      </c>
      <c r="K16" t="inlineStr">
        <is>
          <t>No</t>
        </is>
      </c>
      <c r="L16" t="inlineStr">
        <is>
          <t>A. Kollie</t>
        </is>
      </c>
    </row>
    <row r="17">
      <c r="A17" t="inlineStr">
        <is>
          <t>SI-2026-0014</t>
        </is>
      </c>
      <c r="B17" s="32" t="n">
        <v>46080</v>
      </c>
      <c r="C17" s="33">
        <f>MONTH(B17)</f>
        <v>2</v>
      </c>
      <c r="D17" t="inlineStr">
        <is>
          <t>Bong</t>
        </is>
      </c>
      <c r="E17" t="inlineStr">
        <is>
          <t>Suakoko Clinic</t>
        </is>
      </c>
      <c r="F17" t="inlineStr">
        <is>
          <t>Hospital / Clinic</t>
        </is>
      </c>
      <c r="G17" t="inlineStr">
        <is>
          <t>Compliant</t>
        </is>
      </c>
      <c r="H17" s="33" t="n">
        <v>3</v>
      </c>
      <c r="I17" t="inlineStr">
        <is>
          <t>Limits and record-keeping in order; no corrective action required.</t>
        </is>
      </c>
      <c r="J17" t="inlineStr">
        <is>
          <t>No</t>
        </is>
      </c>
      <c r="K17" t="inlineStr">
        <is>
          <t>No</t>
        </is>
      </c>
      <c r="L17" t="inlineStr">
        <is>
          <t>M. Toe</t>
        </is>
      </c>
    </row>
    <row r="18">
      <c r="A18" t="inlineStr">
        <is>
          <t>SI-2026-0015</t>
        </is>
      </c>
      <c r="B18" s="32" t="n">
        <v>46060</v>
      </c>
      <c r="C18" s="33">
        <f>MONTH(B18)</f>
        <v>2</v>
      </c>
      <c r="D18" t="inlineStr">
        <is>
          <t>Grand Cape Mount</t>
        </is>
      </c>
      <c r="E18" t="inlineStr">
        <is>
          <t>Sinje Health Center</t>
        </is>
      </c>
      <c r="F18" t="inlineStr">
        <is>
          <t>Hospital / Clinic</t>
        </is>
      </c>
      <c r="G18" t="inlineStr">
        <is>
          <t>Compliant</t>
        </is>
      </c>
      <c r="H18" s="33" t="n">
        <v>3</v>
      </c>
      <c r="I18" t="inlineStr">
        <is>
          <t>Limits and record-keeping in order; no corrective action required.</t>
        </is>
      </c>
      <c r="J18" t="inlineStr">
        <is>
          <t>No</t>
        </is>
      </c>
      <c r="K18" t="inlineStr">
        <is>
          <t>No</t>
        </is>
      </c>
      <c r="L18" t="inlineStr">
        <is>
          <t>L. Gbessay</t>
        </is>
      </c>
    </row>
    <row r="19">
      <c r="A19" t="inlineStr">
        <is>
          <t>SI-2026-0016</t>
        </is>
      </c>
      <c r="B19" s="32" t="n">
        <v>46080</v>
      </c>
      <c r="C19" s="33">
        <f>MONTH(B19)</f>
        <v>2</v>
      </c>
      <c r="D19" t="inlineStr">
        <is>
          <t>Nimba</t>
        </is>
      </c>
      <c r="E19" t="inlineStr">
        <is>
          <t>Tappita Referral Hospital</t>
        </is>
      </c>
      <c r="F19" t="inlineStr">
        <is>
          <t>Hospital / Clinic</t>
        </is>
      </c>
      <c r="G19" t="inlineStr">
        <is>
          <t>Pending Review</t>
        </is>
      </c>
      <c r="H19" s="33" t="n">
        <v>5</v>
      </c>
      <c r="I19" t="inlineStr">
        <is>
          <t>Sampling results awaited before a compliance decision is made.</t>
        </is>
      </c>
      <c r="J19" t="inlineStr">
        <is>
          <t>Yes</t>
        </is>
      </c>
      <c r="K19" t="inlineStr">
        <is>
          <t>Yes</t>
        </is>
      </c>
      <c r="L19" t="inlineStr">
        <is>
          <t>L. Gbessay</t>
        </is>
      </c>
    </row>
    <row r="20">
      <c r="A20" t="inlineStr">
        <is>
          <t>SI-2026-0017</t>
        </is>
      </c>
      <c r="B20" s="32" t="n">
        <v>46070</v>
      </c>
      <c r="C20" s="33">
        <f>MONTH(B20)</f>
        <v>2</v>
      </c>
      <c r="D20" t="inlineStr">
        <is>
          <t>Margibi</t>
        </is>
      </c>
      <c r="E20" t="inlineStr">
        <is>
          <t>China Union Bong Mines</t>
        </is>
      </c>
      <c r="F20" t="inlineStr">
        <is>
          <t>Industrial Plant</t>
        </is>
      </c>
      <c r="G20" t="inlineStr">
        <is>
          <t>Compliant</t>
        </is>
      </c>
      <c r="H20" s="33" t="n">
        <v>2</v>
      </c>
      <c r="I20" t="inlineStr">
        <is>
          <t>Minor housekeeping notes given; no compliance gap identified.</t>
        </is>
      </c>
      <c r="J20" t="inlineStr">
        <is>
          <t>No</t>
        </is>
      </c>
      <c r="K20" t="inlineStr">
        <is>
          <t>No</t>
        </is>
      </c>
      <c r="L20" t="inlineStr">
        <is>
          <t>L. Gbessay</t>
        </is>
      </c>
    </row>
    <row r="21">
      <c r="A21" t="inlineStr">
        <is>
          <t>SI-2026-0018</t>
        </is>
      </c>
      <c r="B21" s="32" t="n">
        <v>46081</v>
      </c>
      <c r="C21" s="33">
        <f>MONTH(B21)</f>
        <v>2</v>
      </c>
      <c r="D21" t="inlineStr">
        <is>
          <t>Lofa</t>
        </is>
      </c>
      <c r="E21" t="inlineStr">
        <is>
          <t>Maryland Oil Palm Estate</t>
        </is>
      </c>
      <c r="F21" t="inlineStr">
        <is>
          <t>Mining Site</t>
        </is>
      </c>
      <c r="G21" t="inlineStr">
        <is>
          <t>Compliant</t>
        </is>
      </c>
      <c r="H21" s="33" t="n">
        <v>2</v>
      </c>
      <c r="I21" t="inlineStr">
        <is>
          <t>Minor housekeeping notes given; no compliance gap identified.</t>
        </is>
      </c>
      <c r="J21" t="inlineStr">
        <is>
          <t>No</t>
        </is>
      </c>
      <c r="K21" t="inlineStr">
        <is>
          <t>No</t>
        </is>
      </c>
      <c r="L21" t="inlineStr">
        <is>
          <t>M. Toe</t>
        </is>
      </c>
    </row>
    <row r="22">
      <c r="A22" t="inlineStr">
        <is>
          <t>SI-2026-0019</t>
        </is>
      </c>
      <c r="B22" s="32" t="n">
        <v>46066</v>
      </c>
      <c r="C22" s="33">
        <f>MONTH(B22)</f>
        <v>2</v>
      </c>
      <c r="D22" t="inlineStr">
        <is>
          <t>Nimba</t>
        </is>
      </c>
      <c r="E22" t="inlineStr">
        <is>
          <t>Tappita Referral Hospital</t>
        </is>
      </c>
      <c r="F22" t="inlineStr">
        <is>
          <t>Hospital / Clinic</t>
        </is>
      </c>
      <c r="G22" t="inlineStr">
        <is>
          <t>Compliant</t>
        </is>
      </c>
      <c r="H22" s="33" t="n">
        <v>2</v>
      </c>
      <c r="I22" t="inlineStr">
        <is>
          <t>Monitoring records complete for the period under review.</t>
        </is>
      </c>
      <c r="J22" t="inlineStr">
        <is>
          <t>No</t>
        </is>
      </c>
      <c r="K22" t="inlineStr">
        <is>
          <t>No</t>
        </is>
      </c>
      <c r="L22" t="inlineStr">
        <is>
          <t>D. Yarkpawolo</t>
        </is>
      </c>
    </row>
    <row r="23">
      <c r="A23" t="inlineStr">
        <is>
          <t>SI-2026-0020</t>
        </is>
      </c>
      <c r="B23" s="32" t="n">
        <v>46066</v>
      </c>
      <c r="C23" s="33">
        <f>MONTH(B23)</f>
        <v>2</v>
      </c>
      <c r="D23" t="inlineStr">
        <is>
          <t>Bong</t>
        </is>
      </c>
      <c r="E23" t="inlineStr">
        <is>
          <t>Gbarnga Health Center</t>
        </is>
      </c>
      <c r="F23" t="inlineStr">
        <is>
          <t>Hospital / Clinic</t>
        </is>
      </c>
      <c r="G23" t="inlineStr">
        <is>
          <t>Compliant</t>
        </is>
      </c>
      <c r="H23" s="33" t="n">
        <v>1</v>
      </c>
      <c r="I23" t="inlineStr">
        <is>
          <t>Monitoring records complete for the period under review.</t>
        </is>
      </c>
      <c r="J23" t="inlineStr">
        <is>
          <t>No</t>
        </is>
      </c>
      <c r="K23" t="inlineStr">
        <is>
          <t>No</t>
        </is>
      </c>
      <c r="L23" t="inlineStr">
        <is>
          <t>M. Toe</t>
        </is>
      </c>
    </row>
    <row r="24">
      <c r="A24" t="inlineStr">
        <is>
          <t>SI-2026-0021</t>
        </is>
      </c>
      <c r="B24" s="32" t="n">
        <v>46071</v>
      </c>
      <c r="C24" s="33">
        <f>MONTH(B24)</f>
        <v>2</v>
      </c>
      <c r="D24" t="inlineStr">
        <is>
          <t>Nimba</t>
        </is>
      </c>
      <c r="E24" t="inlineStr">
        <is>
          <t>Butuo Community Water Point</t>
        </is>
      </c>
      <c r="F24" t="inlineStr">
        <is>
          <t>Water Treatment / Supply</t>
        </is>
      </c>
      <c r="G24" t="inlineStr">
        <is>
          <t>Non-Compliant</t>
        </is>
      </c>
      <c r="H24" s="33" t="n">
        <v>8</v>
      </c>
      <c r="I24" t="inlineStr">
        <is>
          <t>Monitoring records not maintained for the reporting period.</t>
        </is>
      </c>
      <c r="J24" t="inlineStr">
        <is>
          <t>Yes</t>
        </is>
      </c>
      <c r="K24" t="inlineStr">
        <is>
          <t>Yes</t>
        </is>
      </c>
      <c r="L24" t="inlineStr">
        <is>
          <t>L. Gbessay</t>
        </is>
      </c>
    </row>
    <row r="25">
      <c r="A25" t="inlineStr">
        <is>
          <t>SI-2026-0022</t>
        </is>
      </c>
      <c r="B25" s="32" t="n">
        <v>46057</v>
      </c>
      <c r="C25" s="33">
        <f>MONTH(B25)</f>
        <v>2</v>
      </c>
      <c r="D25" t="inlineStr">
        <is>
          <t>Nimba</t>
        </is>
      </c>
      <c r="E25" t="inlineStr">
        <is>
          <t>Saclepea Health Center</t>
        </is>
      </c>
      <c r="F25" t="inlineStr">
        <is>
          <t>Hospital / Clinic</t>
        </is>
      </c>
      <c r="G25" t="inlineStr">
        <is>
          <t>Compliant</t>
        </is>
      </c>
      <c r="H25" s="33" t="n">
        <v>1</v>
      </c>
      <c r="I25" t="inlineStr">
        <is>
          <t>Limits and record-keeping in order; no corrective action required.</t>
        </is>
      </c>
      <c r="J25" t="inlineStr">
        <is>
          <t>No</t>
        </is>
      </c>
      <c r="K25" t="inlineStr">
        <is>
          <t>No</t>
        </is>
      </c>
      <c r="L25" t="inlineStr">
        <is>
          <t>A. Kollie</t>
        </is>
      </c>
    </row>
    <row r="26">
      <c r="A26" t="inlineStr">
        <is>
          <t>SI-2026-0023</t>
        </is>
      </c>
      <c r="B26" s="32" t="n">
        <v>46097</v>
      </c>
      <c r="C26" s="33">
        <f>MONTH(B26)</f>
        <v>3</v>
      </c>
      <c r="D26" t="inlineStr">
        <is>
          <t>Nimba</t>
        </is>
      </c>
      <c r="E26" t="inlineStr">
        <is>
          <t>Firestone Rubber Plantation</t>
        </is>
      </c>
      <c r="F26" t="inlineStr">
        <is>
          <t>Mining Site</t>
        </is>
      </c>
      <c r="G26" t="inlineStr">
        <is>
          <t>Compliant</t>
        </is>
      </c>
      <c r="H26" s="33" t="n">
        <v>3</v>
      </c>
      <c r="I26" t="inlineStr">
        <is>
          <t>Minor housekeeping notes given; no compliance gap identified.</t>
        </is>
      </c>
      <c r="J26" t="inlineStr">
        <is>
          <t>No</t>
        </is>
      </c>
      <c r="K26" t="inlineStr">
        <is>
          <t>No</t>
        </is>
      </c>
      <c r="L26" t="inlineStr">
        <is>
          <t>D. Yarkpawolo</t>
        </is>
      </c>
    </row>
    <row r="27">
      <c r="A27" t="inlineStr">
        <is>
          <t>SI-2026-0024</t>
        </is>
      </c>
      <c r="B27" s="32" t="n">
        <v>46105</v>
      </c>
      <c r="C27" s="33">
        <f>MONTH(B27)</f>
        <v>3</v>
      </c>
      <c r="D27" t="inlineStr">
        <is>
          <t>Montserrado</t>
        </is>
      </c>
      <c r="E27" t="inlineStr">
        <is>
          <t>St. Joseph's Catholic Hospital</t>
        </is>
      </c>
      <c r="F27" t="inlineStr">
        <is>
          <t>Hospital / Clinic</t>
        </is>
      </c>
      <c r="G27" t="inlineStr">
        <is>
          <t>Compliant</t>
        </is>
      </c>
      <c r="H27" s="33" t="n">
        <v>2</v>
      </c>
      <c r="I27" t="inlineStr">
        <is>
          <t>Monitoring records complete for the period under review.</t>
        </is>
      </c>
      <c r="J27" t="inlineStr">
        <is>
          <t>No</t>
        </is>
      </c>
      <c r="K27" t="inlineStr">
        <is>
          <t>No</t>
        </is>
      </c>
      <c r="L27" t="inlineStr">
        <is>
          <t>M. Toe</t>
        </is>
      </c>
    </row>
    <row r="28">
      <c r="A28" t="inlineStr">
        <is>
          <t>SI-2026-0025</t>
        </is>
      </c>
      <c r="B28" s="32" t="n">
        <v>46088</v>
      </c>
      <c r="C28" s="33">
        <f>MONTH(B28)</f>
        <v>3</v>
      </c>
      <c r="D28" t="inlineStr">
        <is>
          <t>Montserrado</t>
        </is>
      </c>
      <c r="E28" t="inlineStr">
        <is>
          <t>ArcelorMittal Buchanan</t>
        </is>
      </c>
      <c r="F28" t="inlineStr">
        <is>
          <t>Industrial Plant</t>
        </is>
      </c>
      <c r="G28" t="inlineStr">
        <is>
          <t>Non-Compliant</t>
        </is>
      </c>
      <c r="H28" s="33" t="n">
        <v>7</v>
      </c>
      <c r="I28" t="inlineStr">
        <is>
          <t>Monitoring records not maintained for the reporting period.</t>
        </is>
      </c>
      <c r="J28" t="inlineStr">
        <is>
          <t>Yes</t>
        </is>
      </c>
      <c r="K28" t="inlineStr">
        <is>
          <t>Yes</t>
        </is>
      </c>
      <c r="L28" t="inlineStr">
        <is>
          <t>F. Gbato</t>
        </is>
      </c>
    </row>
    <row r="29">
      <c r="A29" t="inlineStr">
        <is>
          <t>SI-2026-0026</t>
        </is>
      </c>
      <c r="B29" s="32" t="n">
        <v>46110</v>
      </c>
      <c r="C29" s="33">
        <f>MONTH(B29)</f>
        <v>3</v>
      </c>
      <c r="D29" t="inlineStr">
        <is>
          <t>Margibi</t>
        </is>
      </c>
      <c r="E29" t="inlineStr">
        <is>
          <t>Dolo Town Community Water Point</t>
        </is>
      </c>
      <c r="F29" t="inlineStr">
        <is>
          <t>Water Treatment / Supply</t>
        </is>
      </c>
      <c r="G29" t="inlineStr">
        <is>
          <t>Compliant</t>
        </is>
      </c>
      <c r="H29" s="33" t="n">
        <v>2</v>
      </c>
      <c r="I29" t="inlineStr">
        <is>
          <t>Monitoring records complete for the period under review.</t>
        </is>
      </c>
      <c r="J29" t="inlineStr">
        <is>
          <t>No</t>
        </is>
      </c>
      <c r="K29" t="inlineStr">
        <is>
          <t>No</t>
        </is>
      </c>
      <c r="L29" t="inlineStr">
        <is>
          <t>L. Gbessay</t>
        </is>
      </c>
    </row>
    <row r="30">
      <c r="A30" t="inlineStr">
        <is>
          <t>SI-2026-0027</t>
        </is>
      </c>
      <c r="B30" s="32" t="n">
        <v>46103</v>
      </c>
      <c r="C30" s="33">
        <f>MONTH(B30)</f>
        <v>3</v>
      </c>
      <c r="D30" t="inlineStr">
        <is>
          <t>Margibi</t>
        </is>
      </c>
      <c r="E30" t="inlineStr">
        <is>
          <t>C.H. Rennie Hospital</t>
        </is>
      </c>
      <c r="F30" t="inlineStr">
        <is>
          <t>Hospital / Clinic</t>
        </is>
      </c>
      <c r="G30" t="inlineStr">
        <is>
          <t>Compliant</t>
        </is>
      </c>
      <c r="H30" s="33" t="n">
        <v>3</v>
      </c>
      <c r="I30" t="inlineStr">
        <is>
          <t>Limits and record-keeping in order; no corrective action required.</t>
        </is>
      </c>
      <c r="J30" t="inlineStr">
        <is>
          <t>No</t>
        </is>
      </c>
      <c r="K30" t="inlineStr">
        <is>
          <t>No</t>
        </is>
      </c>
      <c r="L30" t="inlineStr">
        <is>
          <t>F. Gbato</t>
        </is>
      </c>
    </row>
    <row r="31">
      <c r="A31" t="inlineStr">
        <is>
          <t>SI-2026-0028</t>
        </is>
      </c>
      <c r="B31" s="32" t="n">
        <v>46108</v>
      </c>
      <c r="C31" s="33">
        <f>MONTH(B31)</f>
        <v>3</v>
      </c>
      <c r="D31" t="inlineStr">
        <is>
          <t>Grand Bassa</t>
        </is>
      </c>
      <c r="E31" t="inlineStr">
        <is>
          <t>Buchanan Government Hospital</t>
        </is>
      </c>
      <c r="F31" t="inlineStr">
        <is>
          <t>Hospital / Clinic</t>
        </is>
      </c>
      <c r="G31" t="inlineStr">
        <is>
          <t>Compliant</t>
        </is>
      </c>
      <c r="H31" s="33" t="n">
        <v>4</v>
      </c>
      <c r="I31" t="inlineStr">
        <is>
          <t>Monitoring records complete for the period under review.</t>
        </is>
      </c>
      <c r="J31" t="inlineStr">
        <is>
          <t>No</t>
        </is>
      </c>
      <c r="K31" t="inlineStr">
        <is>
          <t>No</t>
        </is>
      </c>
      <c r="L31" t="inlineStr">
        <is>
          <t>F. Gbato</t>
        </is>
      </c>
    </row>
    <row r="32">
      <c r="A32" t="inlineStr">
        <is>
          <t>SI-2026-0029</t>
        </is>
      </c>
      <c r="B32" s="32" t="n">
        <v>46099</v>
      </c>
      <c r="C32" s="33">
        <f>MONTH(B32)</f>
        <v>3</v>
      </c>
      <c r="D32" t="inlineStr">
        <is>
          <t>Grand Cape Mount</t>
        </is>
      </c>
      <c r="E32" t="inlineStr">
        <is>
          <t>China Union Bong Mines</t>
        </is>
      </c>
      <c r="F32" t="inlineStr">
        <is>
          <t>Mining Site</t>
        </is>
      </c>
      <c r="G32" t="inlineStr">
        <is>
          <t>Compliant</t>
        </is>
      </c>
      <c r="H32" s="33" t="n">
        <v>3</v>
      </c>
      <c r="I32" t="inlineStr">
        <is>
          <t>Limits and record-keeping in order; no corrective action required.</t>
        </is>
      </c>
      <c r="J32" t="inlineStr">
        <is>
          <t>No</t>
        </is>
      </c>
      <c r="K32" t="inlineStr">
        <is>
          <t>No</t>
        </is>
      </c>
      <c r="L32" t="inlineStr">
        <is>
          <t>F. Gbato</t>
        </is>
      </c>
    </row>
    <row r="33">
      <c r="A33" t="inlineStr">
        <is>
          <t>SI-2026-0030</t>
        </is>
      </c>
      <c r="B33" s="32" t="n">
        <v>46083</v>
      </c>
      <c r="C33" s="33">
        <f>MONTH(B33)</f>
        <v>3</v>
      </c>
      <c r="D33" t="inlineStr">
        <is>
          <t>Grand Bassa</t>
        </is>
      </c>
      <c r="E33" t="inlineStr">
        <is>
          <t>Buchanan Community Water Point</t>
        </is>
      </c>
      <c r="F33" t="inlineStr">
        <is>
          <t>Water Treatment / Supply</t>
        </is>
      </c>
      <c r="G33" t="inlineStr">
        <is>
          <t>Non-Compliant</t>
        </is>
      </c>
      <c r="H33" s="33" t="n">
        <v>8</v>
      </c>
      <c r="I33" t="inlineStr">
        <is>
          <t>Water supply point unprotected; risk of contamination confirmed.</t>
        </is>
      </c>
      <c r="J33" t="inlineStr">
        <is>
          <t>Yes</t>
        </is>
      </c>
      <c r="K33" t="inlineStr">
        <is>
          <t>No</t>
        </is>
      </c>
      <c r="L33" t="inlineStr">
        <is>
          <t>S. Dolo</t>
        </is>
      </c>
    </row>
    <row r="34">
      <c r="A34" t="inlineStr">
        <is>
          <t>SI-2026-0031</t>
        </is>
      </c>
      <c r="B34" s="32" t="n">
        <v>46087</v>
      </c>
      <c r="C34" s="33">
        <f>MONTH(B34)</f>
        <v>3</v>
      </c>
      <c r="D34" t="inlineStr">
        <is>
          <t>Montserrado</t>
        </is>
      </c>
      <c r="E34" t="inlineStr">
        <is>
          <t>Redemption Hospital</t>
        </is>
      </c>
      <c r="F34" t="inlineStr">
        <is>
          <t>Hospital / Clinic</t>
        </is>
      </c>
      <c r="G34" t="inlineStr">
        <is>
          <t>Non-Compliant</t>
        </is>
      </c>
      <c r="H34" s="33" t="n">
        <v>9</v>
      </c>
      <c r="I34" t="inlineStr">
        <is>
          <t>Water supply point unprotected; risk of contamination confirmed.</t>
        </is>
      </c>
      <c r="J34" t="inlineStr">
        <is>
          <t>Yes</t>
        </is>
      </c>
      <c r="K34" t="inlineStr">
        <is>
          <t>Yes</t>
        </is>
      </c>
      <c r="L34" t="inlineStr">
        <is>
          <t>M. Toe</t>
        </is>
      </c>
    </row>
    <row r="35">
      <c r="A35" t="inlineStr">
        <is>
          <t>SI-2026-0032</t>
        </is>
      </c>
      <c r="B35" s="32" t="n">
        <v>46110</v>
      </c>
      <c r="C35" s="33">
        <f>MONTH(B35)</f>
        <v>3</v>
      </c>
      <c r="D35" t="inlineStr">
        <is>
          <t>Montserrado</t>
        </is>
      </c>
      <c r="E35" t="inlineStr">
        <is>
          <t>West Point Community Water Point</t>
        </is>
      </c>
      <c r="F35" t="inlineStr">
        <is>
          <t>Water Treatment / Supply</t>
        </is>
      </c>
      <c r="G35" t="inlineStr">
        <is>
          <t>Compliant</t>
        </is>
      </c>
      <c r="H35" s="33" t="n">
        <v>3</v>
      </c>
      <c r="I35" t="inlineStr">
        <is>
          <t>Minor housekeeping notes given; no compliance gap identified.</t>
        </is>
      </c>
      <c r="J35" t="inlineStr">
        <is>
          <t>No</t>
        </is>
      </c>
      <c r="K35" t="inlineStr">
        <is>
          <t>No</t>
        </is>
      </c>
      <c r="L35" t="inlineStr">
        <is>
          <t>S. Dolo</t>
        </is>
      </c>
    </row>
    <row r="36">
      <c r="A36" t="inlineStr">
        <is>
          <t>SI-2026-0033</t>
        </is>
      </c>
      <c r="B36" s="32" t="n">
        <v>46117</v>
      </c>
      <c r="C36" s="33">
        <f>MONTH(B36)</f>
        <v>4</v>
      </c>
      <c r="D36" t="inlineStr">
        <is>
          <t>Bong</t>
        </is>
      </c>
      <c r="E36" t="inlineStr">
        <is>
          <t>Firestone Rubber Plantation</t>
        </is>
      </c>
      <c r="F36" t="inlineStr">
        <is>
          <t>Mining Site</t>
        </is>
      </c>
      <c r="G36" t="inlineStr">
        <is>
          <t>Compliant</t>
        </is>
      </c>
      <c r="H36" s="33" t="n">
        <v>4</v>
      </c>
      <c r="I36" t="inlineStr">
        <is>
          <t>Minor housekeeping notes given; no compliance gap identified.</t>
        </is>
      </c>
      <c r="J36" t="inlineStr">
        <is>
          <t>No</t>
        </is>
      </c>
      <c r="K36" t="inlineStr">
        <is>
          <t>No</t>
        </is>
      </c>
      <c r="L36" t="inlineStr">
        <is>
          <t>S. Dolo</t>
        </is>
      </c>
    </row>
    <row r="37">
      <c r="A37" t="inlineStr">
        <is>
          <t>SI-2026-0034</t>
        </is>
      </c>
      <c r="B37" s="32" t="n">
        <v>46114</v>
      </c>
      <c r="C37" s="33">
        <f>MONTH(B37)</f>
        <v>4</v>
      </c>
      <c r="D37" t="inlineStr">
        <is>
          <t>Montserrado</t>
        </is>
      </c>
      <c r="E37" t="inlineStr">
        <is>
          <t>Nimba Western Range Iron Ore</t>
        </is>
      </c>
      <c r="F37" t="inlineStr">
        <is>
          <t>Industrial Plant</t>
        </is>
      </c>
      <c r="G37" t="inlineStr">
        <is>
          <t>Non-Compliant</t>
        </is>
      </c>
      <c r="H37" s="33" t="n">
        <v>7</v>
      </c>
      <c r="I37" t="inlineStr">
        <is>
          <t>Waste stored uncovered on site; corrective action plan requested.</t>
        </is>
      </c>
      <c r="J37" t="inlineStr">
        <is>
          <t>Yes</t>
        </is>
      </c>
      <c r="K37" t="inlineStr">
        <is>
          <t>Yes</t>
        </is>
      </c>
      <c r="L37" t="inlineStr">
        <is>
          <t>F. Gbato</t>
        </is>
      </c>
    </row>
    <row r="38">
      <c r="A38" t="inlineStr">
        <is>
          <t>SI-2026-0035</t>
        </is>
      </c>
      <c r="B38" s="32" t="n">
        <v>46119</v>
      </c>
      <c r="C38" s="33">
        <f>MONTH(B38)</f>
        <v>4</v>
      </c>
      <c r="D38" t="inlineStr">
        <is>
          <t>Nimba</t>
        </is>
      </c>
      <c r="E38" t="inlineStr">
        <is>
          <t>Saclepea Health Center</t>
        </is>
      </c>
      <c r="F38" t="inlineStr">
        <is>
          <t>Hospital / Clinic</t>
        </is>
      </c>
      <c r="G38" t="inlineStr">
        <is>
          <t>Non-Compliant</t>
        </is>
      </c>
      <c r="H38" s="33" t="n">
        <v>8</v>
      </c>
      <c r="I38" t="inlineStr">
        <is>
          <t>Water supply point unprotected; risk of contamination confirmed.</t>
        </is>
      </c>
      <c r="J38" t="inlineStr">
        <is>
          <t>Yes</t>
        </is>
      </c>
      <c r="K38" t="inlineStr">
        <is>
          <t>Yes</t>
        </is>
      </c>
      <c r="L38" t="inlineStr">
        <is>
          <t>S. Dolo</t>
        </is>
      </c>
    </row>
    <row r="39">
      <c r="A39" t="inlineStr">
        <is>
          <t>SI-2026-0036</t>
        </is>
      </c>
      <c r="B39" s="32" t="n">
        <v>46119</v>
      </c>
      <c r="C39" s="33">
        <f>MONTH(B39)</f>
        <v>4</v>
      </c>
      <c r="D39" t="inlineStr">
        <is>
          <t>Montserrado</t>
        </is>
      </c>
      <c r="E39" t="inlineStr">
        <is>
          <t>Sinkor Community Water Point</t>
        </is>
      </c>
      <c r="F39" t="inlineStr">
        <is>
          <t>Water Treatment / Supply</t>
        </is>
      </c>
      <c r="G39" t="inlineStr">
        <is>
          <t>Non-Compliant</t>
        </is>
      </c>
      <c r="H39" s="33" t="n">
        <v>7</v>
      </c>
      <c r="I39" t="inlineStr">
        <is>
          <t>Radiation warning signage and access control missing at source store.</t>
        </is>
      </c>
      <c r="J39" t="inlineStr">
        <is>
          <t>Yes</t>
        </is>
      </c>
      <c r="K39" t="inlineStr">
        <is>
          <t>Yes</t>
        </is>
      </c>
      <c r="L39" t="inlineStr">
        <is>
          <t>S. Dolo</t>
        </is>
      </c>
    </row>
    <row r="40">
      <c r="A40" t="inlineStr">
        <is>
          <t>SI-2026-0037</t>
        </is>
      </c>
      <c r="B40" s="32" t="n">
        <v>46114</v>
      </c>
      <c r="C40" s="33">
        <f>MONTH(B40)</f>
        <v>4</v>
      </c>
      <c r="D40" t="inlineStr">
        <is>
          <t>Nimba</t>
        </is>
      </c>
      <c r="E40" t="inlineStr">
        <is>
          <t>Ganta Community Water Point</t>
        </is>
      </c>
      <c r="F40" t="inlineStr">
        <is>
          <t>School</t>
        </is>
      </c>
      <c r="G40" t="inlineStr">
        <is>
          <t>Non-Compliant</t>
        </is>
      </c>
      <c r="H40" s="33" t="n">
        <v>8</v>
      </c>
      <c r="I40" t="inlineStr">
        <is>
          <t>Water supply point unprotected; risk of contamination confirmed.</t>
        </is>
      </c>
      <c r="J40" t="inlineStr">
        <is>
          <t>Yes</t>
        </is>
      </c>
      <c r="K40" t="inlineStr">
        <is>
          <t>No</t>
        </is>
      </c>
      <c r="L40" t="inlineStr">
        <is>
          <t>L. Gbessay</t>
        </is>
      </c>
    </row>
    <row r="41">
      <c r="A41" t="inlineStr">
        <is>
          <t>SI-2026-0038</t>
        </is>
      </c>
      <c r="B41" s="32" t="n">
        <v>46138</v>
      </c>
      <c r="C41" s="33">
        <f>MONTH(B41)</f>
        <v>4</v>
      </c>
      <c r="D41" t="inlineStr">
        <is>
          <t>Bong</t>
        </is>
      </c>
      <c r="E41" t="inlineStr">
        <is>
          <t>Palala Community Water Point</t>
        </is>
      </c>
      <c r="F41" t="inlineStr">
        <is>
          <t>Water Treatment / Supply</t>
        </is>
      </c>
      <c r="G41" t="inlineStr">
        <is>
          <t>Compliant</t>
        </is>
      </c>
      <c r="H41" s="33" t="n">
        <v>3</v>
      </c>
      <c r="I41" t="inlineStr">
        <is>
          <t>Limits and record-keeping in order; no corrective action required.</t>
        </is>
      </c>
      <c r="J41" t="inlineStr">
        <is>
          <t>No</t>
        </is>
      </c>
      <c r="K41" t="inlineStr">
        <is>
          <t>No</t>
        </is>
      </c>
      <c r="L41" t="inlineStr">
        <is>
          <t>S. Dolo</t>
        </is>
      </c>
    </row>
    <row r="42">
      <c r="A42" t="inlineStr">
        <is>
          <t>SI-2026-0039</t>
        </is>
      </c>
      <c r="B42" s="32" t="n">
        <v>46114</v>
      </c>
      <c r="C42" s="33">
        <f>MONTH(B42)</f>
        <v>4</v>
      </c>
      <c r="D42" t="inlineStr">
        <is>
          <t>Grand Bassa</t>
        </is>
      </c>
      <c r="E42" t="inlineStr">
        <is>
          <t>Buchanan Port Terminal</t>
        </is>
      </c>
      <c r="F42" t="inlineStr">
        <is>
          <t>Industrial Plant</t>
        </is>
      </c>
      <c r="G42" t="inlineStr">
        <is>
          <t>Compliant</t>
        </is>
      </c>
      <c r="H42" s="33" t="n">
        <v>3</v>
      </c>
      <c r="I42" t="inlineStr">
        <is>
          <t>Limits and record-keeping in order; no corrective action required.</t>
        </is>
      </c>
      <c r="J42" t="inlineStr">
        <is>
          <t>No</t>
        </is>
      </c>
      <c r="K42" t="inlineStr">
        <is>
          <t>No</t>
        </is>
      </c>
      <c r="L42" t="inlineStr">
        <is>
          <t>L. Gbessay</t>
        </is>
      </c>
    </row>
    <row r="43">
      <c r="A43" t="inlineStr">
        <is>
          <t>SI-2026-0040</t>
        </is>
      </c>
      <c r="B43" s="32" t="n">
        <v>46135</v>
      </c>
      <c r="C43" s="33">
        <f>MONTH(B43)</f>
        <v>4</v>
      </c>
      <c r="D43" t="inlineStr">
        <is>
          <t>Nimba</t>
        </is>
      </c>
      <c r="E43" t="inlineStr">
        <is>
          <t>ArcelorMittal Buchanan</t>
        </is>
      </c>
      <c r="F43" t="inlineStr">
        <is>
          <t>Industrial Plant</t>
        </is>
      </c>
      <c r="G43" t="inlineStr">
        <is>
          <t>Non-Compliant</t>
        </is>
      </c>
      <c r="H43" s="33" t="n">
        <v>7</v>
      </c>
      <c r="I43" t="inlineStr">
        <is>
          <t>Radiation warning signage and access control missing at source store.</t>
        </is>
      </c>
      <c r="J43" t="inlineStr">
        <is>
          <t>Yes</t>
        </is>
      </c>
      <c r="K43" t="inlineStr">
        <is>
          <t>Yes</t>
        </is>
      </c>
      <c r="L43" t="inlineStr">
        <is>
          <t>D. Yarkpawolo</t>
        </is>
      </c>
    </row>
    <row r="44">
      <c r="A44" t="inlineStr">
        <is>
          <t>SI-2026-0041</t>
        </is>
      </c>
      <c r="B44" s="32" t="n">
        <v>46142</v>
      </c>
      <c r="C44" s="33">
        <f>MONTH(B44)</f>
        <v>4</v>
      </c>
      <c r="D44" t="inlineStr">
        <is>
          <t>Bong</t>
        </is>
      </c>
      <c r="E44" t="inlineStr">
        <is>
          <t>Bea Mountain Mining</t>
        </is>
      </c>
      <c r="F44" t="inlineStr">
        <is>
          <t>Industrial Plant</t>
        </is>
      </c>
      <c r="G44" t="inlineStr">
        <is>
          <t>Compliant</t>
        </is>
      </c>
      <c r="H44" s="33" t="n">
        <v>4</v>
      </c>
      <c r="I44" t="inlineStr">
        <is>
          <t>Limits and record-keeping in order; no corrective action required.</t>
        </is>
      </c>
      <c r="J44" t="inlineStr">
        <is>
          <t>No</t>
        </is>
      </c>
      <c r="K44" t="inlineStr">
        <is>
          <t>No</t>
        </is>
      </c>
      <c r="L44" t="inlineStr">
        <is>
          <t>D. Yarkpawolo</t>
        </is>
      </c>
    </row>
    <row r="45">
      <c r="A45" t="inlineStr">
        <is>
          <t>SI-2026-0042</t>
        </is>
      </c>
      <c r="B45" s="32" t="n">
        <v>46166</v>
      </c>
      <c r="C45" s="33">
        <f>MONTH(B45)</f>
        <v>5</v>
      </c>
      <c r="D45" t="inlineStr">
        <is>
          <t>Montserrado</t>
        </is>
      </c>
      <c r="E45" t="inlineStr">
        <is>
          <t>West Point Community Water Point</t>
        </is>
      </c>
      <c r="F45" t="inlineStr">
        <is>
          <t>School</t>
        </is>
      </c>
      <c r="G45" t="inlineStr">
        <is>
          <t>Compliant</t>
        </is>
      </c>
      <c r="H45" s="33" t="n">
        <v>3</v>
      </c>
      <c r="I45" t="inlineStr">
        <is>
          <t>Limits and record-keeping in order; no corrective action required.</t>
        </is>
      </c>
      <c r="J45" t="inlineStr">
        <is>
          <t>No</t>
        </is>
      </c>
      <c r="K45" t="inlineStr">
        <is>
          <t>No</t>
        </is>
      </c>
      <c r="L45" t="inlineStr">
        <is>
          <t>F. Gbato</t>
        </is>
      </c>
    </row>
    <row r="46">
      <c r="A46" t="inlineStr">
        <is>
          <t>SI-2026-0043</t>
        </is>
      </c>
      <c r="B46" s="32" t="n">
        <v>46169</v>
      </c>
      <c r="C46" s="33">
        <f>MONTH(B46)</f>
        <v>5</v>
      </c>
      <c r="D46" t="inlineStr">
        <is>
          <t>Nimba</t>
        </is>
      </c>
      <c r="E46" t="inlineStr">
        <is>
          <t>Saclepea Health Center</t>
        </is>
      </c>
      <c r="F46" t="inlineStr">
        <is>
          <t>Hospital / Clinic</t>
        </is>
      </c>
      <c r="G46" t="inlineStr">
        <is>
          <t>Pending Review</t>
        </is>
      </c>
      <c r="H46" s="33" t="n">
        <v>5</v>
      </c>
      <c r="I46" t="inlineStr">
        <is>
          <t>Sampling results awaited before a compliance decision is made.</t>
        </is>
      </c>
      <c r="J46" t="inlineStr">
        <is>
          <t>Yes</t>
        </is>
      </c>
      <c r="K46" t="inlineStr">
        <is>
          <t>Yes</t>
        </is>
      </c>
      <c r="L46" t="inlineStr">
        <is>
          <t>A. Kollie</t>
        </is>
      </c>
    </row>
    <row r="47">
      <c r="A47" t="inlineStr">
        <is>
          <t>SI-2026-0044</t>
        </is>
      </c>
      <c r="B47" s="32" t="n">
        <v>46146</v>
      </c>
      <c r="C47" s="33">
        <f>MONTH(B47)</f>
        <v>5</v>
      </c>
      <c r="D47" t="inlineStr">
        <is>
          <t>Montserrado</t>
        </is>
      </c>
      <c r="E47" t="inlineStr">
        <is>
          <t>Buchanan Port Terminal</t>
        </is>
      </c>
      <c r="F47" t="inlineStr">
        <is>
          <t>Industrial Plant</t>
        </is>
      </c>
      <c r="G47" t="inlineStr">
        <is>
          <t>Non-Compliant</t>
        </is>
      </c>
      <c r="H47" s="33" t="n">
        <v>8</v>
      </c>
      <c r="I47" t="inlineStr">
        <is>
          <t>Effluent / runoff discharged without treatment; abatement notice served.</t>
        </is>
      </c>
      <c r="J47" t="inlineStr">
        <is>
          <t>Yes</t>
        </is>
      </c>
      <c r="K47" t="inlineStr">
        <is>
          <t>No</t>
        </is>
      </c>
      <c r="L47" t="inlineStr">
        <is>
          <t>M. Toe</t>
        </is>
      </c>
    </row>
    <row r="48">
      <c r="A48" t="inlineStr">
        <is>
          <t>SI-2026-0045</t>
        </is>
      </c>
      <c r="B48" s="32" t="n">
        <v>46156</v>
      </c>
      <c r="C48" s="33">
        <f>MONTH(B48)</f>
        <v>5</v>
      </c>
      <c r="D48" t="inlineStr">
        <is>
          <t>Bong</t>
        </is>
      </c>
      <c r="E48" t="inlineStr">
        <is>
          <t>Suakoko Community Water Point</t>
        </is>
      </c>
      <c r="F48" t="inlineStr">
        <is>
          <t>School</t>
        </is>
      </c>
      <c r="G48" t="inlineStr">
        <is>
          <t>Compliant</t>
        </is>
      </c>
      <c r="H48" s="33" t="n">
        <v>2</v>
      </c>
      <c r="I48" t="inlineStr">
        <is>
          <t>Minor housekeeping notes given; no compliance gap identified.</t>
        </is>
      </c>
      <c r="J48" t="inlineStr">
        <is>
          <t>No</t>
        </is>
      </c>
      <c r="K48" t="inlineStr">
        <is>
          <t>No</t>
        </is>
      </c>
      <c r="L48" t="inlineStr">
        <is>
          <t>M. Toe</t>
        </is>
      </c>
    </row>
    <row r="49">
      <c r="A49" t="inlineStr">
        <is>
          <t>SI-2026-0046</t>
        </is>
      </c>
      <c r="B49" s="32" t="n">
        <v>46159</v>
      </c>
      <c r="C49" s="33">
        <f>MONTH(B49)</f>
        <v>5</v>
      </c>
      <c r="D49" t="inlineStr">
        <is>
          <t>Grand Gedeh</t>
        </is>
      </c>
      <c r="E49" t="inlineStr">
        <is>
          <t>B'hai Community Water Point</t>
        </is>
      </c>
      <c r="F49" t="inlineStr">
        <is>
          <t>School</t>
        </is>
      </c>
      <c r="G49" t="inlineStr">
        <is>
          <t>Compliant</t>
        </is>
      </c>
      <c r="H49" s="33" t="n">
        <v>3</v>
      </c>
      <c r="I49" t="inlineStr">
        <is>
          <t>Monitoring records complete for the period under review.</t>
        </is>
      </c>
      <c r="J49" t="inlineStr">
        <is>
          <t>No</t>
        </is>
      </c>
      <c r="K49" t="inlineStr">
        <is>
          <t>No</t>
        </is>
      </c>
      <c r="L49" t="inlineStr">
        <is>
          <t>S. Dolo</t>
        </is>
      </c>
    </row>
    <row r="50">
      <c r="A50" t="inlineStr">
        <is>
          <t>SI-2026-0047</t>
        </is>
      </c>
      <c r="B50" s="32" t="n">
        <v>46166</v>
      </c>
      <c r="C50" s="33">
        <f>MONTH(B50)</f>
        <v>5</v>
      </c>
      <c r="D50" t="inlineStr">
        <is>
          <t>Margibi</t>
        </is>
      </c>
      <c r="E50" t="inlineStr">
        <is>
          <t>Nimba Western Range Iron Ore</t>
        </is>
      </c>
      <c r="F50" t="inlineStr">
        <is>
          <t>Industrial Plant</t>
        </is>
      </c>
      <c r="G50" t="inlineStr">
        <is>
          <t>Non-Compliant</t>
        </is>
      </c>
      <c r="H50" s="33" t="n">
        <v>7</v>
      </c>
      <c r="I50" t="inlineStr">
        <is>
          <t>Radiation warning signage and access control missing at source store.</t>
        </is>
      </c>
      <c r="J50" t="inlineStr">
        <is>
          <t>Yes</t>
        </is>
      </c>
      <c r="K50" t="inlineStr">
        <is>
          <t>No</t>
        </is>
      </c>
      <c r="L50" t="inlineStr">
        <is>
          <t>F. Gbato</t>
        </is>
      </c>
    </row>
    <row r="51">
      <c r="A51" t="inlineStr">
        <is>
          <t>SI-2026-0048</t>
        </is>
      </c>
      <c r="B51" s="32" t="n">
        <v>46151</v>
      </c>
      <c r="C51" s="33">
        <f>MONTH(B51)</f>
        <v>5</v>
      </c>
      <c r="D51" t="inlineStr">
        <is>
          <t>Maryland</t>
        </is>
      </c>
      <c r="E51" t="inlineStr">
        <is>
          <t>Harper Hospital</t>
        </is>
      </c>
      <c r="F51" t="inlineStr">
        <is>
          <t>Hospital / Clinic</t>
        </is>
      </c>
      <c r="G51" t="inlineStr">
        <is>
          <t>Compliant</t>
        </is>
      </c>
      <c r="H51" s="33" t="n">
        <v>3</v>
      </c>
      <c r="I51" t="inlineStr">
        <is>
          <t>Limits and record-keeping in order; no corrective action required.</t>
        </is>
      </c>
      <c r="J51" t="inlineStr">
        <is>
          <t>No</t>
        </is>
      </c>
      <c r="K51" t="inlineStr">
        <is>
          <t>No</t>
        </is>
      </c>
      <c r="L51" t="inlineStr">
        <is>
          <t>L. Gbessay</t>
        </is>
      </c>
    </row>
    <row r="52">
      <c r="A52" t="inlineStr">
        <is>
          <t>SI-2026-0049</t>
        </is>
      </c>
      <c r="B52" s="32" t="n">
        <v>46144</v>
      </c>
      <c r="C52" s="33">
        <f>MONTH(B52)</f>
        <v>5</v>
      </c>
      <c r="D52" t="inlineStr">
        <is>
          <t>Margibi</t>
        </is>
      </c>
      <c r="E52" t="inlineStr">
        <is>
          <t>Weala Community Water Point</t>
        </is>
      </c>
      <c r="F52" t="inlineStr">
        <is>
          <t>Water Treatment / Supply</t>
        </is>
      </c>
      <c r="G52" t="inlineStr">
        <is>
          <t>Non-Compliant</t>
        </is>
      </c>
      <c r="H52" s="33" t="n">
        <v>8</v>
      </c>
      <c r="I52" t="inlineStr">
        <is>
          <t>Radiation warning signage and access control missing at source store.</t>
        </is>
      </c>
      <c r="J52" t="inlineStr">
        <is>
          <t>Yes</t>
        </is>
      </c>
      <c r="K52" t="inlineStr">
        <is>
          <t>Yes</t>
        </is>
      </c>
      <c r="L52" t="inlineStr">
        <is>
          <t>S. Dolo</t>
        </is>
      </c>
    </row>
    <row r="53">
      <c r="A53" t="inlineStr">
        <is>
          <t>SI-2026-0050</t>
        </is>
      </c>
      <c r="B53" s="32" t="n">
        <v>46155</v>
      </c>
      <c r="C53" s="33">
        <f>MONTH(B53)</f>
        <v>5</v>
      </c>
      <c r="D53" t="inlineStr">
        <is>
          <t>Nimba</t>
        </is>
      </c>
      <c r="E53" t="inlineStr">
        <is>
          <t>Monrovia Breweries</t>
        </is>
      </c>
      <c r="F53" t="inlineStr">
        <is>
          <t>Industrial Plant</t>
        </is>
      </c>
      <c r="G53" t="inlineStr">
        <is>
          <t>Compliant</t>
        </is>
      </c>
      <c r="H53" s="33" t="n">
        <v>3</v>
      </c>
      <c r="I53" t="inlineStr">
        <is>
          <t>Limits and record-keeping in order; no corrective action required.</t>
        </is>
      </c>
      <c r="J53" t="inlineStr">
        <is>
          <t>No</t>
        </is>
      </c>
      <c r="K53" t="inlineStr">
        <is>
          <t>No</t>
        </is>
      </c>
      <c r="L53" t="inlineStr">
        <is>
          <t>F. Gbato</t>
        </is>
      </c>
    </row>
    <row r="54">
      <c r="A54" t="inlineStr">
        <is>
          <t>SI-2026-0051</t>
        </is>
      </c>
      <c r="B54" s="32" t="n">
        <v>46156</v>
      </c>
      <c r="C54" s="33">
        <f>MONTH(B54)</f>
        <v>5</v>
      </c>
      <c r="D54" t="inlineStr">
        <is>
          <t>Nimba</t>
        </is>
      </c>
      <c r="E54" t="inlineStr">
        <is>
          <t>Monrovia Breweries</t>
        </is>
      </c>
      <c r="F54" t="inlineStr">
        <is>
          <t>Mining Site</t>
        </is>
      </c>
      <c r="G54" t="inlineStr">
        <is>
          <t>Compliant</t>
        </is>
      </c>
      <c r="H54" s="33" t="n">
        <v>3</v>
      </c>
      <c r="I54" t="inlineStr">
        <is>
          <t>Limits and record-keeping in order; no corrective action required.</t>
        </is>
      </c>
      <c r="J54" t="inlineStr">
        <is>
          <t>No</t>
        </is>
      </c>
      <c r="K54" t="inlineStr">
        <is>
          <t>No</t>
        </is>
      </c>
      <c r="L54" t="inlineStr">
        <is>
          <t>L. Gbessay</t>
        </is>
      </c>
    </row>
    <row r="55">
      <c r="A55" t="inlineStr">
        <is>
          <t>SI-2026-0052</t>
        </is>
      </c>
      <c r="B55" s="32" t="n">
        <v>46198</v>
      </c>
      <c r="C55" s="33">
        <f>MONTH(B55)</f>
        <v>6</v>
      </c>
      <c r="D55" t="inlineStr">
        <is>
          <t>Grand Bassa</t>
        </is>
      </c>
      <c r="E55" t="inlineStr">
        <is>
          <t>Liberia Cement Corporation</t>
        </is>
      </c>
      <c r="F55" t="inlineStr">
        <is>
          <t>Mining Site</t>
        </is>
      </c>
      <c r="G55" t="inlineStr">
        <is>
          <t>Pending Review</t>
        </is>
      </c>
      <c r="H55" s="33" t="n">
        <v>5</v>
      </c>
      <c r="I55" t="inlineStr">
        <is>
          <t>Sampling results awaited before a compliance decision is made.</t>
        </is>
      </c>
      <c r="J55" t="inlineStr">
        <is>
          <t>Yes</t>
        </is>
      </c>
      <c r="K55" t="inlineStr">
        <is>
          <t>Yes</t>
        </is>
      </c>
      <c r="L55" t="inlineStr">
        <is>
          <t>S. Dolo</t>
        </is>
      </c>
    </row>
    <row r="56">
      <c r="A56" t="inlineStr">
        <is>
          <t>SI-2026-0053</t>
        </is>
      </c>
      <c r="B56" s="32" t="n">
        <v>46203</v>
      </c>
      <c r="C56" s="33">
        <f>MONTH(B56)</f>
        <v>6</v>
      </c>
      <c r="D56" t="inlineStr">
        <is>
          <t>Montserrado</t>
        </is>
      </c>
      <c r="E56" t="inlineStr">
        <is>
          <t>JFK Memorial Hospital</t>
        </is>
      </c>
      <c r="F56" t="inlineStr">
        <is>
          <t>Hospital / Clinic</t>
        </is>
      </c>
      <c r="G56" t="inlineStr">
        <is>
          <t>Compliant</t>
        </is>
      </c>
      <c r="H56" s="33" t="n">
        <v>4</v>
      </c>
      <c r="I56" t="inlineStr">
        <is>
          <t>Monitoring records complete for the period under review.</t>
        </is>
      </c>
      <c r="J56" t="inlineStr">
        <is>
          <t>No</t>
        </is>
      </c>
      <c r="K56" t="inlineStr">
        <is>
          <t>No</t>
        </is>
      </c>
      <c r="L56" t="inlineStr">
        <is>
          <t>M. Toe</t>
        </is>
      </c>
    </row>
    <row r="57">
      <c r="A57" t="inlineStr">
        <is>
          <t>SI-2026-0054</t>
        </is>
      </c>
      <c r="B57" s="32" t="n">
        <v>46203</v>
      </c>
      <c r="C57" s="33">
        <f>MONTH(B57)</f>
        <v>6</v>
      </c>
      <c r="D57" t="inlineStr">
        <is>
          <t>Montserrado</t>
        </is>
      </c>
      <c r="E57" t="inlineStr">
        <is>
          <t>Brewerville Community Water Point</t>
        </is>
      </c>
      <c r="F57" t="inlineStr">
        <is>
          <t>Water Treatment / Supply</t>
        </is>
      </c>
      <c r="G57" t="inlineStr">
        <is>
          <t>Compliant</t>
        </is>
      </c>
      <c r="H57" s="33" t="n">
        <v>4</v>
      </c>
      <c r="I57" t="inlineStr">
        <is>
          <t>Minor housekeeping notes given; no compliance gap identified.</t>
        </is>
      </c>
      <c r="J57" t="inlineStr">
        <is>
          <t>No</t>
        </is>
      </c>
      <c r="K57" t="inlineStr">
        <is>
          <t>No</t>
        </is>
      </c>
      <c r="L57" t="inlineStr">
        <is>
          <t>A. Kollie</t>
        </is>
      </c>
    </row>
    <row r="58">
      <c r="A58" t="inlineStr">
        <is>
          <t>SI-2026-0055</t>
        </is>
      </c>
      <c r="B58" s="32" t="n">
        <v>46183</v>
      </c>
      <c r="C58" s="33">
        <f>MONTH(B58)</f>
        <v>6</v>
      </c>
      <c r="D58" t="inlineStr">
        <is>
          <t>Bong</t>
        </is>
      </c>
      <c r="E58" t="inlineStr">
        <is>
          <t>Totota Community Water Point</t>
        </is>
      </c>
      <c r="F58" t="inlineStr">
        <is>
          <t>Water Treatment / Supply</t>
        </is>
      </c>
      <c r="G58" t="inlineStr">
        <is>
          <t>Compliant</t>
        </is>
      </c>
      <c r="H58" s="33" t="n">
        <v>2</v>
      </c>
      <c r="I58" t="inlineStr">
        <is>
          <t>Monitoring records complete for the period under review.</t>
        </is>
      </c>
      <c r="J58" t="inlineStr">
        <is>
          <t>No</t>
        </is>
      </c>
      <c r="K58" t="inlineStr">
        <is>
          <t>No</t>
        </is>
      </c>
      <c r="L58" t="inlineStr">
        <is>
          <t>S. Dolo</t>
        </is>
      </c>
    </row>
    <row r="59">
      <c r="A59" t="inlineStr">
        <is>
          <t>SI-2026-0056</t>
        </is>
      </c>
      <c r="B59" s="32" t="n">
        <v>46195</v>
      </c>
      <c r="C59" s="33">
        <f>MONTH(B59)</f>
        <v>6</v>
      </c>
      <c r="D59" t="inlineStr">
        <is>
          <t>Montserrado</t>
        </is>
      </c>
      <c r="E59" t="inlineStr">
        <is>
          <t>New Kru Town Community Water Point</t>
        </is>
      </c>
      <c r="F59" t="inlineStr">
        <is>
          <t>School</t>
        </is>
      </c>
      <c r="G59" t="inlineStr">
        <is>
          <t>Compliant</t>
        </is>
      </c>
      <c r="H59" s="33" t="n">
        <v>1</v>
      </c>
      <c r="I59" t="inlineStr">
        <is>
          <t>Minor housekeeping notes given; no compliance gap identified.</t>
        </is>
      </c>
      <c r="J59" t="inlineStr">
        <is>
          <t>No</t>
        </is>
      </c>
      <c r="K59" t="inlineStr">
        <is>
          <t>No</t>
        </is>
      </c>
      <c r="L59" t="inlineStr">
        <is>
          <t>D. Yarkpawolo</t>
        </is>
      </c>
    </row>
    <row r="60">
      <c r="A60" t="inlineStr">
        <is>
          <t>SI-2026-0057</t>
        </is>
      </c>
      <c r="B60" s="32" t="n">
        <v>46183</v>
      </c>
      <c r="C60" s="33">
        <f>MONTH(B60)</f>
        <v>6</v>
      </c>
      <c r="D60" t="inlineStr">
        <is>
          <t>Lofa</t>
        </is>
      </c>
      <c r="E60" t="inlineStr">
        <is>
          <t>Foya Community Water Point</t>
        </is>
      </c>
      <c r="F60" t="inlineStr">
        <is>
          <t>School</t>
        </is>
      </c>
      <c r="G60" t="inlineStr">
        <is>
          <t>Compliant</t>
        </is>
      </c>
      <c r="H60" s="33" t="n">
        <v>1</v>
      </c>
      <c r="I60" t="inlineStr">
        <is>
          <t>Monitoring records complete for the period under review.</t>
        </is>
      </c>
      <c r="J60" t="inlineStr">
        <is>
          <t>No</t>
        </is>
      </c>
      <c r="K60" t="inlineStr">
        <is>
          <t>No</t>
        </is>
      </c>
      <c r="L60" t="inlineStr">
        <is>
          <t>M. Toe</t>
        </is>
      </c>
    </row>
    <row r="61">
      <c r="A61" t="inlineStr">
        <is>
          <t>SI-2026-0058</t>
        </is>
      </c>
      <c r="B61" s="32" t="n">
        <v>46176</v>
      </c>
      <c r="C61" s="33">
        <f>MONTH(B61)</f>
        <v>6</v>
      </c>
      <c r="D61" t="inlineStr">
        <is>
          <t>Maryland</t>
        </is>
      </c>
      <c r="E61" t="inlineStr">
        <is>
          <t>Pleebo Health Center</t>
        </is>
      </c>
      <c r="F61" t="inlineStr">
        <is>
          <t>Hospital / Clinic</t>
        </is>
      </c>
      <c r="G61" t="inlineStr">
        <is>
          <t>Compliant</t>
        </is>
      </c>
      <c r="H61" s="33" t="n">
        <v>1</v>
      </c>
      <c r="I61" t="inlineStr">
        <is>
          <t>Limits and record-keeping in order; no corrective action required.</t>
        </is>
      </c>
      <c r="J61" t="inlineStr">
        <is>
          <t>No</t>
        </is>
      </c>
      <c r="K61" t="inlineStr">
        <is>
          <t>No</t>
        </is>
      </c>
      <c r="L61" t="inlineStr">
        <is>
          <t>L. Gbessay</t>
        </is>
      </c>
    </row>
    <row r="62">
      <c r="A62" t="inlineStr">
        <is>
          <t>SI-2026-0059</t>
        </is>
      </c>
      <c r="B62" s="32" t="n">
        <v>46197</v>
      </c>
      <c r="C62" s="33">
        <f>MONTH(B62)</f>
        <v>6</v>
      </c>
      <c r="D62" t="inlineStr">
        <is>
          <t>Montserrado</t>
        </is>
      </c>
      <c r="E62" t="inlineStr">
        <is>
          <t>New Kru Town Community Water Point</t>
        </is>
      </c>
      <c r="F62" t="inlineStr">
        <is>
          <t>Water Treatment / Supply</t>
        </is>
      </c>
      <c r="G62" t="inlineStr">
        <is>
          <t>Pending Review</t>
        </is>
      </c>
      <c r="H62" s="33" t="n">
        <v>5</v>
      </c>
      <c r="I62" t="inlineStr">
        <is>
          <t>Laboratory analysis pending; interim control measures advised.</t>
        </is>
      </c>
      <c r="J62" t="inlineStr">
        <is>
          <t>Yes</t>
        </is>
      </c>
      <c r="K62" t="inlineStr">
        <is>
          <t>No</t>
        </is>
      </c>
      <c r="L62" t="inlineStr">
        <is>
          <t>A. Kollie</t>
        </is>
      </c>
    </row>
    <row r="63">
      <c r="A63" t="inlineStr">
        <is>
          <t>SI-2026-0060</t>
        </is>
      </c>
      <c r="B63" s="32" t="n">
        <v>46197</v>
      </c>
      <c r="C63" s="33">
        <f>MONTH(B63)</f>
        <v>6</v>
      </c>
      <c r="D63" t="inlineStr">
        <is>
          <t>Lofa</t>
        </is>
      </c>
      <c r="E63" t="inlineStr">
        <is>
          <t>Buchanan Port Terminal</t>
        </is>
      </c>
      <c r="F63" t="inlineStr">
        <is>
          <t>Industrial Plant</t>
        </is>
      </c>
      <c r="G63" t="inlineStr">
        <is>
          <t>Compliant</t>
        </is>
      </c>
      <c r="H63" s="33" t="n">
        <v>4</v>
      </c>
      <c r="I63" t="inlineStr">
        <is>
          <t>Limits and record-keeping in order; no corrective action required.</t>
        </is>
      </c>
      <c r="J63" t="inlineStr">
        <is>
          <t>No</t>
        </is>
      </c>
      <c r="K63" t="inlineStr">
        <is>
          <t>No</t>
        </is>
      </c>
      <c r="L63" t="inlineStr">
        <is>
          <t>M. Toe</t>
        </is>
      </c>
    </row>
    <row r="64">
      <c r="A64" t="inlineStr">
        <is>
          <t>SI-2026-0061</t>
        </is>
      </c>
      <c r="B64" s="32" t="n">
        <v>46187</v>
      </c>
      <c r="C64" s="33">
        <f>MONTH(B64)</f>
        <v>6</v>
      </c>
      <c r="D64" t="inlineStr">
        <is>
          <t>Grand Bassa</t>
        </is>
      </c>
      <c r="E64" t="inlineStr">
        <is>
          <t>Buchanan Community Water Point</t>
        </is>
      </c>
      <c r="F64" t="inlineStr">
        <is>
          <t>Water Treatment / Supply</t>
        </is>
      </c>
      <c r="G64" t="inlineStr">
        <is>
          <t>Compliant</t>
        </is>
      </c>
      <c r="H64" s="33" t="n">
        <v>4</v>
      </c>
      <c r="I64" t="inlineStr">
        <is>
          <t>Minor housekeeping notes given; no compliance gap identified.</t>
        </is>
      </c>
      <c r="J64" t="inlineStr">
        <is>
          <t>No</t>
        </is>
      </c>
      <c r="K64" t="inlineStr">
        <is>
          <t>No</t>
        </is>
      </c>
      <c r="L64" t="inlineStr">
        <is>
          <t>A. Kollie</t>
        </is>
      </c>
    </row>
    <row r="65">
      <c r="A65" t="inlineStr">
        <is>
          <t>SI-2026-0062</t>
        </is>
      </c>
      <c r="B65" s="32" t="n">
        <v>46208</v>
      </c>
      <c r="C65" s="33">
        <f>MONTH(B65)</f>
        <v>7</v>
      </c>
      <c r="D65" t="inlineStr">
        <is>
          <t>Nimba</t>
        </is>
      </c>
      <c r="E65" t="inlineStr">
        <is>
          <t>Saclepea Health Center</t>
        </is>
      </c>
      <c r="F65" t="inlineStr">
        <is>
          <t>Hospital / Clinic</t>
        </is>
      </c>
      <c r="G65" t="inlineStr">
        <is>
          <t>Compliant</t>
        </is>
      </c>
      <c r="H65" s="33" t="n">
        <v>2</v>
      </c>
      <c r="I65" t="inlineStr">
        <is>
          <t>Monitoring records complete for the period under review.</t>
        </is>
      </c>
      <c r="J65" t="inlineStr">
        <is>
          <t>No</t>
        </is>
      </c>
      <c r="K65" t="inlineStr">
        <is>
          <t>No</t>
        </is>
      </c>
      <c r="L65" t="inlineStr">
        <is>
          <t>A. Kollie</t>
        </is>
      </c>
    </row>
    <row r="66">
      <c r="A66" t="inlineStr">
        <is>
          <t>SI-2026-0063</t>
        </is>
      </c>
      <c r="B66" s="32" t="n">
        <v>46226</v>
      </c>
      <c r="C66" s="33">
        <f>MONTH(B66)</f>
        <v>7</v>
      </c>
      <c r="D66" t="inlineStr">
        <is>
          <t>Grand Cape Mount</t>
        </is>
      </c>
      <c r="E66" t="inlineStr">
        <is>
          <t>Golden Veroleum Palm Oil</t>
        </is>
      </c>
      <c r="F66" t="inlineStr">
        <is>
          <t>Industrial Plant</t>
        </is>
      </c>
      <c r="G66" t="inlineStr">
        <is>
          <t>Non-Compliant</t>
        </is>
      </c>
      <c r="H66" s="33" t="n">
        <v>10</v>
      </c>
      <c r="I66" t="inlineStr">
        <is>
          <t>Effluent / runoff discharged without treatment; abatement notice served.</t>
        </is>
      </c>
      <c r="J66" t="inlineStr">
        <is>
          <t>Yes</t>
        </is>
      </c>
      <c r="K66" t="inlineStr">
        <is>
          <t>No</t>
        </is>
      </c>
      <c r="L66" t="inlineStr">
        <is>
          <t>A. Kollie</t>
        </is>
      </c>
    </row>
    <row r="67">
      <c r="A67" t="inlineStr">
        <is>
          <t>SI-2026-0064</t>
        </is>
      </c>
      <c r="B67" s="32" t="n">
        <v>46212</v>
      </c>
      <c r="C67" s="33">
        <f>MONTH(B67)</f>
        <v>7</v>
      </c>
      <c r="D67" t="inlineStr">
        <is>
          <t>Nimba</t>
        </is>
      </c>
      <c r="E67" t="inlineStr">
        <is>
          <t>Ganta United Methodist Hospital</t>
        </is>
      </c>
      <c r="F67" t="inlineStr">
        <is>
          <t>Hospital / Clinic</t>
        </is>
      </c>
      <c r="G67" t="inlineStr">
        <is>
          <t>Non-Compliant</t>
        </is>
      </c>
      <c r="H67" s="33" t="n">
        <v>9</v>
      </c>
      <c r="I67" t="inlineStr">
        <is>
          <t>Water supply point unprotected; risk of contamination confirmed.</t>
        </is>
      </c>
      <c r="J67" t="inlineStr">
        <is>
          <t>Yes</t>
        </is>
      </c>
      <c r="K67" t="inlineStr">
        <is>
          <t>No</t>
        </is>
      </c>
      <c r="L67" t="inlineStr">
        <is>
          <t>S. Dolo</t>
        </is>
      </c>
    </row>
    <row r="68">
      <c r="A68" t="inlineStr">
        <is>
          <t>SI-2026-0065</t>
        </is>
      </c>
      <c r="B68" s="32" t="n">
        <v>46223</v>
      </c>
      <c r="C68" s="33">
        <f>MONTH(B68)</f>
        <v>7</v>
      </c>
      <c r="D68" t="inlineStr">
        <is>
          <t>Nimba</t>
        </is>
      </c>
      <c r="E68" t="inlineStr">
        <is>
          <t>ArcelorMittal Buchanan</t>
        </is>
      </c>
      <c r="F68" t="inlineStr">
        <is>
          <t>Industrial Plant</t>
        </is>
      </c>
      <c r="G68" t="inlineStr">
        <is>
          <t>Compliant</t>
        </is>
      </c>
      <c r="H68" s="33" t="n">
        <v>3</v>
      </c>
      <c r="I68" t="inlineStr">
        <is>
          <t>Minor housekeeping notes given; no compliance gap identified.</t>
        </is>
      </c>
      <c r="J68" t="inlineStr">
        <is>
          <t>No</t>
        </is>
      </c>
      <c r="K68" t="inlineStr">
        <is>
          <t>No</t>
        </is>
      </c>
      <c r="L68" t="inlineStr">
        <is>
          <t>S. Dolo</t>
        </is>
      </c>
    </row>
    <row r="69">
      <c r="A69" t="inlineStr">
        <is>
          <t>SI-2026-0066</t>
        </is>
      </c>
      <c r="B69" s="32" t="n">
        <v>46211</v>
      </c>
      <c r="C69" s="33">
        <f>MONTH(B69)</f>
        <v>7</v>
      </c>
      <c r="D69" t="inlineStr">
        <is>
          <t>Sinoe</t>
        </is>
      </c>
      <c r="E69" t="inlineStr">
        <is>
          <t>Liberia Cement Corporation</t>
        </is>
      </c>
      <c r="F69" t="inlineStr">
        <is>
          <t>Industrial Plant</t>
        </is>
      </c>
      <c r="G69" t="inlineStr">
        <is>
          <t>Non-Compliant</t>
        </is>
      </c>
      <c r="H69" s="33" t="n">
        <v>7</v>
      </c>
      <c r="I69" t="inlineStr">
        <is>
          <t>Waste stored uncovered on site; corrective action plan requested.</t>
        </is>
      </c>
      <c r="J69" t="inlineStr">
        <is>
          <t>Yes</t>
        </is>
      </c>
      <c r="K69" t="inlineStr">
        <is>
          <t>Yes</t>
        </is>
      </c>
      <c r="L69" t="inlineStr">
        <is>
          <t>D. Yarkpawolo</t>
        </is>
      </c>
    </row>
    <row r="70">
      <c r="A70" t="inlineStr">
        <is>
          <t>SI-2026-0067</t>
        </is>
      </c>
      <c r="B70" s="32" t="n">
        <v>46232</v>
      </c>
      <c r="C70" s="33">
        <f>MONTH(B70)</f>
        <v>7</v>
      </c>
      <c r="D70" t="inlineStr">
        <is>
          <t>Bong</t>
        </is>
      </c>
      <c r="E70" t="inlineStr">
        <is>
          <t>ArcelorMittal Buchanan</t>
        </is>
      </c>
      <c r="F70" t="inlineStr">
        <is>
          <t>Mining Site</t>
        </is>
      </c>
      <c r="G70" t="inlineStr">
        <is>
          <t>Compliant</t>
        </is>
      </c>
      <c r="H70" s="33" t="n">
        <v>1</v>
      </c>
      <c r="I70" t="inlineStr">
        <is>
          <t>Monitoring records complete for the period under review.</t>
        </is>
      </c>
      <c r="J70" t="inlineStr">
        <is>
          <t>No</t>
        </is>
      </c>
      <c r="K70" t="inlineStr">
        <is>
          <t>No</t>
        </is>
      </c>
      <c r="L70" t="inlineStr">
        <is>
          <t>M. Toe</t>
        </is>
      </c>
    </row>
    <row r="71">
      <c r="A71" t="inlineStr">
        <is>
          <t>SI-2026-0068</t>
        </is>
      </c>
      <c r="B71" s="32" t="n">
        <v>46213</v>
      </c>
      <c r="C71" s="33">
        <f>MONTH(B71)</f>
        <v>7</v>
      </c>
      <c r="D71" t="inlineStr">
        <is>
          <t>Margibi</t>
        </is>
      </c>
      <c r="E71" t="inlineStr">
        <is>
          <t>Liberia Petroleum Refinery</t>
        </is>
      </c>
      <c r="F71" t="inlineStr">
        <is>
          <t>Mining Site</t>
        </is>
      </c>
      <c r="G71" t="inlineStr">
        <is>
          <t>Compliant</t>
        </is>
      </c>
      <c r="H71" s="33" t="n">
        <v>3</v>
      </c>
      <c r="I71" t="inlineStr">
        <is>
          <t>Monitoring records complete for the period under review.</t>
        </is>
      </c>
      <c r="J71" t="inlineStr">
        <is>
          <t>No</t>
        </is>
      </c>
      <c r="K71" t="inlineStr">
        <is>
          <t>No</t>
        </is>
      </c>
      <c r="L71" t="inlineStr">
        <is>
          <t>S. Dolo</t>
        </is>
      </c>
    </row>
    <row r="72">
      <c r="A72" t="inlineStr">
        <is>
          <t>SI-2026-0069</t>
        </is>
      </c>
      <c r="B72" s="32" t="n">
        <v>46205</v>
      </c>
      <c r="C72" s="33">
        <f>MONTH(B72)</f>
        <v>7</v>
      </c>
      <c r="D72" t="inlineStr">
        <is>
          <t>Sinoe</t>
        </is>
      </c>
      <c r="E72" t="inlineStr">
        <is>
          <t>Greenville Health Center</t>
        </is>
      </c>
      <c r="F72" t="inlineStr">
        <is>
          <t>Hospital / Clinic</t>
        </is>
      </c>
      <c r="G72" t="inlineStr">
        <is>
          <t>Non-Compliant</t>
        </is>
      </c>
      <c r="H72" s="33" t="n">
        <v>10</v>
      </c>
      <c r="I72" t="inlineStr">
        <is>
          <t>Radiation warning signage and access control missing at source store.</t>
        </is>
      </c>
      <c r="J72" t="inlineStr">
        <is>
          <t>Yes</t>
        </is>
      </c>
      <c r="K72" t="inlineStr">
        <is>
          <t>No</t>
        </is>
      </c>
      <c r="L72" t="inlineStr">
        <is>
          <t>L. Gbessay</t>
        </is>
      </c>
    </row>
    <row r="73">
      <c r="A73" t="inlineStr">
        <is>
          <t>SI-2026-0070</t>
        </is>
      </c>
      <c r="B73" s="32" t="n">
        <v>46211</v>
      </c>
      <c r="C73" s="33">
        <f>MONTH(B73)</f>
        <v>7</v>
      </c>
      <c r="D73" t="inlineStr">
        <is>
          <t>Lofa</t>
        </is>
      </c>
      <c r="E73" t="inlineStr">
        <is>
          <t>Bea Mountain Mining</t>
        </is>
      </c>
      <c r="F73" t="inlineStr">
        <is>
          <t>Industrial Plant</t>
        </is>
      </c>
      <c r="G73" t="inlineStr">
        <is>
          <t>Non-Compliant</t>
        </is>
      </c>
      <c r="H73" s="33" t="n">
        <v>7</v>
      </c>
      <c r="I73" t="inlineStr">
        <is>
          <t>Radiation warning signage and access control missing at source store.</t>
        </is>
      </c>
      <c r="J73" t="inlineStr">
        <is>
          <t>Yes</t>
        </is>
      </c>
      <c r="K73" t="inlineStr">
        <is>
          <t>Yes</t>
        </is>
      </c>
      <c r="L73" t="inlineStr">
        <is>
          <t>M. Toe</t>
        </is>
      </c>
    </row>
    <row r="74">
      <c r="A74" t="inlineStr">
        <is>
          <t>SI-2026-0071</t>
        </is>
      </c>
      <c r="B74" s="32" t="n">
        <v>46218</v>
      </c>
      <c r="C74" s="33">
        <f>MONTH(B74)</f>
        <v>7</v>
      </c>
      <c r="D74" t="inlineStr">
        <is>
          <t>Montserrado</t>
        </is>
      </c>
      <c r="E74" t="inlineStr">
        <is>
          <t>Liberia Cement Corporation</t>
        </is>
      </c>
      <c r="F74" t="inlineStr">
        <is>
          <t>Industrial Plant</t>
        </is>
      </c>
      <c r="G74" t="inlineStr">
        <is>
          <t>Non-Compliant</t>
        </is>
      </c>
      <c r="H74" s="33" t="n">
        <v>8</v>
      </c>
      <c r="I74" t="inlineStr">
        <is>
          <t>Radiation warning signage and access control missing at source store.</t>
        </is>
      </c>
      <c r="J74" t="inlineStr">
        <is>
          <t>Yes</t>
        </is>
      </c>
      <c r="K74" t="inlineStr">
        <is>
          <t>Yes</t>
        </is>
      </c>
      <c r="L74" t="inlineStr">
        <is>
          <t>A. Kollie</t>
        </is>
      </c>
    </row>
    <row r="75">
      <c r="A75" t="inlineStr">
        <is>
          <t>SI-2026-0072</t>
        </is>
      </c>
      <c r="B75" s="32" t="n">
        <v>46243</v>
      </c>
      <c r="C75" s="33">
        <f>MONTH(B75)</f>
        <v>8</v>
      </c>
      <c r="D75" t="inlineStr">
        <is>
          <t>Grand Bassa</t>
        </is>
      </c>
      <c r="E75" t="inlineStr">
        <is>
          <t>China Union Bong Mines</t>
        </is>
      </c>
      <c r="F75" t="inlineStr">
        <is>
          <t>Industrial Plant</t>
        </is>
      </c>
      <c r="G75" t="inlineStr">
        <is>
          <t>Compliant</t>
        </is>
      </c>
      <c r="H75" s="33" t="n">
        <v>2</v>
      </c>
      <c r="I75" t="inlineStr">
        <is>
          <t>Minor housekeeping notes given; no compliance gap identified.</t>
        </is>
      </c>
      <c r="J75" t="inlineStr">
        <is>
          <t>No</t>
        </is>
      </c>
      <c r="K75" t="inlineStr">
        <is>
          <t>No</t>
        </is>
      </c>
      <c r="L75" t="inlineStr">
        <is>
          <t>L. Gbessay</t>
        </is>
      </c>
    </row>
    <row r="76">
      <c r="A76" t="inlineStr">
        <is>
          <t>SI-2026-0073</t>
        </is>
      </c>
      <c r="B76" s="32" t="n">
        <v>46254</v>
      </c>
      <c r="C76" s="33">
        <f>MONTH(B76)</f>
        <v>8</v>
      </c>
      <c r="D76" t="inlineStr">
        <is>
          <t>Gbarpolu</t>
        </is>
      </c>
      <c r="E76" t="inlineStr">
        <is>
          <t>Bopolu Health Center</t>
        </is>
      </c>
      <c r="F76" t="inlineStr">
        <is>
          <t>Hospital / Clinic</t>
        </is>
      </c>
      <c r="G76" t="inlineStr">
        <is>
          <t>Non-Compliant</t>
        </is>
      </c>
      <c r="H76" s="33" t="n">
        <v>8</v>
      </c>
      <c r="I76" t="inlineStr">
        <is>
          <t>Water supply point unprotected; risk of contamination confirmed.</t>
        </is>
      </c>
      <c r="J76" t="inlineStr">
        <is>
          <t>Yes</t>
        </is>
      </c>
      <c r="K76" t="inlineStr">
        <is>
          <t>Yes</t>
        </is>
      </c>
      <c r="L76" t="inlineStr">
        <is>
          <t>D. Yarkpawolo</t>
        </is>
      </c>
    </row>
    <row r="77">
      <c r="A77" t="inlineStr">
        <is>
          <t>SI-2026-0074</t>
        </is>
      </c>
      <c r="B77" s="32" t="n">
        <v>46255</v>
      </c>
      <c r="C77" s="33">
        <f>MONTH(B77)</f>
        <v>8</v>
      </c>
      <c r="D77" t="inlineStr">
        <is>
          <t>Bong</t>
        </is>
      </c>
      <c r="E77" t="inlineStr">
        <is>
          <t>Buchanan Port Terminal</t>
        </is>
      </c>
      <c r="F77" t="inlineStr">
        <is>
          <t>Industrial Plant</t>
        </is>
      </c>
      <c r="G77" t="inlineStr">
        <is>
          <t>Non-Compliant</t>
        </is>
      </c>
      <c r="H77" s="33" t="n">
        <v>7</v>
      </c>
      <c r="I77" t="inlineStr">
        <is>
          <t>Monitoring records not maintained for the reporting period.</t>
        </is>
      </c>
      <c r="J77" t="inlineStr">
        <is>
          <t>Yes</t>
        </is>
      </c>
      <c r="K77" t="inlineStr">
        <is>
          <t>Yes</t>
        </is>
      </c>
      <c r="L77" t="inlineStr">
        <is>
          <t>L. Gbessay</t>
        </is>
      </c>
    </row>
    <row r="78">
      <c r="A78" t="inlineStr">
        <is>
          <t>SI-2026-0075</t>
        </is>
      </c>
      <c r="B78" s="32" t="n">
        <v>46262</v>
      </c>
      <c r="C78" s="33">
        <f>MONTH(B78)</f>
        <v>8</v>
      </c>
      <c r="D78" t="inlineStr">
        <is>
          <t>Lofa</t>
        </is>
      </c>
      <c r="E78" t="inlineStr">
        <is>
          <t>Curran Lutheran Hospital</t>
        </is>
      </c>
      <c r="F78" t="inlineStr">
        <is>
          <t>Hospital / Clinic</t>
        </is>
      </c>
      <c r="G78" t="inlineStr">
        <is>
          <t>Compliant</t>
        </is>
      </c>
      <c r="H78" s="33" t="n">
        <v>1</v>
      </c>
      <c r="I78" t="inlineStr">
        <is>
          <t>Monitoring records complete for the period under review.</t>
        </is>
      </c>
      <c r="J78" t="inlineStr">
        <is>
          <t>No</t>
        </is>
      </c>
      <c r="K78" t="inlineStr">
        <is>
          <t>No</t>
        </is>
      </c>
      <c r="L78" t="inlineStr">
        <is>
          <t>S. Dolo</t>
        </is>
      </c>
    </row>
    <row r="79">
      <c r="A79" t="inlineStr">
        <is>
          <t>SI-2026-0076</t>
        </is>
      </c>
      <c r="B79" s="32" t="n">
        <v>46262</v>
      </c>
      <c r="C79" s="33">
        <f>MONTH(B79)</f>
        <v>8</v>
      </c>
      <c r="D79" t="inlineStr">
        <is>
          <t>Montserrado</t>
        </is>
      </c>
      <c r="E79" t="inlineStr">
        <is>
          <t>Paynesville Community Water Point</t>
        </is>
      </c>
      <c r="F79" t="inlineStr">
        <is>
          <t>Water Treatment / Supply</t>
        </is>
      </c>
      <c r="G79" t="inlineStr">
        <is>
          <t>Non-Compliant</t>
        </is>
      </c>
      <c r="H79" s="33" t="n">
        <v>7</v>
      </c>
      <c r="I79" t="inlineStr">
        <is>
          <t>Effluent / runoff discharged without treatment; abatement notice served.</t>
        </is>
      </c>
      <c r="J79" t="inlineStr">
        <is>
          <t>Yes</t>
        </is>
      </c>
      <c r="K79" t="inlineStr">
        <is>
          <t>Yes</t>
        </is>
      </c>
      <c r="L79" t="inlineStr">
        <is>
          <t>A. Kollie</t>
        </is>
      </c>
    </row>
    <row r="80">
      <c r="A80" t="inlineStr">
        <is>
          <t>SI-2026-0077</t>
        </is>
      </c>
      <c r="B80" s="32" t="n">
        <v>46263</v>
      </c>
      <c r="C80" s="33">
        <f>MONTH(B80)</f>
        <v>8</v>
      </c>
      <c r="D80" t="inlineStr">
        <is>
          <t>Grand Cape Mount</t>
        </is>
      </c>
      <c r="E80" t="inlineStr">
        <is>
          <t>Liberia Cement Corporation</t>
        </is>
      </c>
      <c r="F80" t="inlineStr">
        <is>
          <t>Industrial Plant</t>
        </is>
      </c>
      <c r="G80" t="inlineStr">
        <is>
          <t>Compliant</t>
        </is>
      </c>
      <c r="H80" s="33" t="n">
        <v>3</v>
      </c>
      <c r="I80" t="inlineStr">
        <is>
          <t>Limits and record-keeping in order; no corrective action required.</t>
        </is>
      </c>
      <c r="J80" t="inlineStr">
        <is>
          <t>No</t>
        </is>
      </c>
      <c r="K80" t="inlineStr">
        <is>
          <t>No</t>
        </is>
      </c>
      <c r="L80" t="inlineStr">
        <is>
          <t>M. Toe</t>
        </is>
      </c>
    </row>
    <row r="81">
      <c r="A81" t="inlineStr">
        <is>
          <t>SI-2026-0078</t>
        </is>
      </c>
      <c r="B81" s="32" t="n">
        <v>46241</v>
      </c>
      <c r="C81" s="33">
        <f>MONTH(B81)</f>
        <v>8</v>
      </c>
      <c r="D81" t="inlineStr">
        <is>
          <t>Grand Bassa</t>
        </is>
      </c>
      <c r="E81" t="inlineStr">
        <is>
          <t>Liberia Cement Corporation</t>
        </is>
      </c>
      <c r="F81" t="inlineStr">
        <is>
          <t>Mining Site</t>
        </is>
      </c>
      <c r="G81" t="inlineStr">
        <is>
          <t>Compliant</t>
        </is>
      </c>
      <c r="H81" s="33" t="n">
        <v>3</v>
      </c>
      <c r="I81" t="inlineStr">
        <is>
          <t>Limits and record-keeping in order; no corrective action required.</t>
        </is>
      </c>
      <c r="J81" t="inlineStr">
        <is>
          <t>No</t>
        </is>
      </c>
      <c r="K81" t="inlineStr">
        <is>
          <t>No</t>
        </is>
      </c>
      <c r="L81" t="inlineStr">
        <is>
          <t>A. Kollie</t>
        </is>
      </c>
    </row>
    <row r="82">
      <c r="A82" t="inlineStr">
        <is>
          <t>SI-2026-0079</t>
        </is>
      </c>
      <c r="B82" s="32" t="n">
        <v>46240</v>
      </c>
      <c r="C82" s="33">
        <f>MONTH(B82)</f>
        <v>8</v>
      </c>
      <c r="D82" t="inlineStr">
        <is>
          <t>Sinoe</t>
        </is>
      </c>
      <c r="E82" t="inlineStr">
        <is>
          <t>Juazon Community Water Point</t>
        </is>
      </c>
      <c r="F82" t="inlineStr">
        <is>
          <t>Waste Facility</t>
        </is>
      </c>
      <c r="G82" t="inlineStr">
        <is>
          <t>Compliant</t>
        </is>
      </c>
      <c r="H82" s="33" t="n">
        <v>2</v>
      </c>
      <c r="I82" t="inlineStr">
        <is>
          <t>Minor housekeeping notes given; no compliance gap identified.</t>
        </is>
      </c>
      <c r="J82" t="inlineStr">
        <is>
          <t>No</t>
        </is>
      </c>
      <c r="K82" t="inlineStr">
        <is>
          <t>No</t>
        </is>
      </c>
      <c r="L82" t="inlineStr">
        <is>
          <t>L. Gbessay</t>
        </is>
      </c>
    </row>
    <row r="83">
      <c r="A83" t="inlineStr">
        <is>
          <t>SI-2026-0080</t>
        </is>
      </c>
      <c r="B83" s="32" t="n">
        <v>46264</v>
      </c>
      <c r="C83" s="33">
        <f>MONTH(B83)</f>
        <v>8</v>
      </c>
      <c r="D83" t="inlineStr">
        <is>
          <t>Maryland</t>
        </is>
      </c>
      <c r="E83" t="inlineStr">
        <is>
          <t>China Union Bong Mines</t>
        </is>
      </c>
      <c r="F83" t="inlineStr">
        <is>
          <t>Industrial Plant</t>
        </is>
      </c>
      <c r="G83" t="inlineStr">
        <is>
          <t>Non-Compliant</t>
        </is>
      </c>
      <c r="H83" s="33" t="n">
        <v>7</v>
      </c>
      <c r="I83" t="inlineStr">
        <is>
          <t>Effluent / runoff discharged without treatment; abatement notice served.</t>
        </is>
      </c>
      <c r="J83" t="inlineStr">
        <is>
          <t>Yes</t>
        </is>
      </c>
      <c r="K83" t="inlineStr">
        <is>
          <t>No</t>
        </is>
      </c>
      <c r="L83" t="inlineStr">
        <is>
          <t>F. Gbato</t>
        </is>
      </c>
    </row>
    <row r="84">
      <c r="A84" t="inlineStr">
        <is>
          <t>SI-2026-0081</t>
        </is>
      </c>
      <c r="B84" s="32" t="n">
        <v>46241</v>
      </c>
      <c r="C84" s="33">
        <f>MONTH(B84)</f>
        <v>8</v>
      </c>
      <c r="D84" t="inlineStr">
        <is>
          <t>Bomi</t>
        </is>
      </c>
      <c r="E84" t="inlineStr">
        <is>
          <t>Maryland Oil Palm Estate</t>
        </is>
      </c>
      <c r="F84" t="inlineStr">
        <is>
          <t>Industrial Plant</t>
        </is>
      </c>
      <c r="G84" t="inlineStr">
        <is>
          <t>Non-Compliant</t>
        </is>
      </c>
      <c r="H84" s="33" t="n">
        <v>7</v>
      </c>
      <c r="I84" t="inlineStr">
        <is>
          <t>Radiation warning signage and access control missing at source store.</t>
        </is>
      </c>
      <c r="J84" t="inlineStr">
        <is>
          <t>Yes</t>
        </is>
      </c>
      <c r="K84" t="inlineStr">
        <is>
          <t>Yes</t>
        </is>
      </c>
      <c r="L84" t="inlineStr">
        <is>
          <t>L. Gbessay</t>
        </is>
      </c>
    </row>
    <row r="85">
      <c r="A85" t="inlineStr">
        <is>
          <t>SI-2026-0082</t>
        </is>
      </c>
      <c r="B85" s="32" t="n">
        <v>46254</v>
      </c>
      <c r="C85" s="33">
        <f>MONTH(B85)</f>
        <v>8</v>
      </c>
      <c r="D85" t="inlineStr">
        <is>
          <t>Bong</t>
        </is>
      </c>
      <c r="E85" t="inlineStr">
        <is>
          <t>Liberia Cement Corporation</t>
        </is>
      </c>
      <c r="F85" t="inlineStr">
        <is>
          <t>Industrial Plant</t>
        </is>
      </c>
      <c r="G85" t="inlineStr">
        <is>
          <t>Non-Compliant</t>
        </is>
      </c>
      <c r="H85" s="33" t="n">
        <v>7</v>
      </c>
      <c r="I85" t="inlineStr">
        <is>
          <t>Water supply point unprotected; risk of contamination confirmed.</t>
        </is>
      </c>
      <c r="J85" t="inlineStr">
        <is>
          <t>Yes</t>
        </is>
      </c>
      <c r="K85" t="inlineStr">
        <is>
          <t>Yes</t>
        </is>
      </c>
      <c r="L85" t="inlineStr">
        <is>
          <t>F. Gbato</t>
        </is>
      </c>
    </row>
  </sheetData>
  <mergeCells count="2">
    <mergeCell ref="A2:L2"/>
    <mergeCell ref="A1:L1"/>
  </mergeCells>
  <conditionalFormatting sqref="H4:H85">
    <cfRule type="colorScale" priority="1">
      <colorScale>
        <cfvo type="num" val="1"/>
        <cfvo type="num" val="5"/>
        <cfvo type="num" val="10"/>
        <color rgb="00D6EFD8"/>
        <color rgb="00FFE9B0"/>
        <color rgb="00F4A79C"/>
      </colorScale>
    </cfRule>
  </conditionalFormatting>
  <conditionalFormatting sqref="G4:G85">
    <cfRule type="cellIs" priority="2" operator="equal" dxfId="0">
      <formula>"Non-Compliant"</formula>
    </cfRule>
    <cfRule type="cellIs" priority="3" operator="equal" dxfId="3">
      <formula>"Compliant"</formula>
    </cfRule>
  </conditionalFormatting>
  <conditionalFormatting sqref="K4:K85">
    <cfRule type="expression" priority="4" dxfId="2">
      <formula>AND($J4="Yes",$K4="No")</formula>
    </cfRule>
  </conditionalFormatting>
  <dataValidations count="5">
    <dataValidation sqref="D4:D285" showDropDown="0" showInputMessage="0" showErrorMessage="0" allowBlank="1" type="list">
      <formula1>CountyList</formula1>
    </dataValidation>
    <dataValidation sqref="F4:F285" showDropDown="0" showInputMessage="0" showErrorMessage="0" allowBlank="1" type="list">
      <formula1>FacilityTypeList</formula1>
    </dataValidation>
    <dataValidation sqref="G4:G285" showDropDown="0" showInputMessage="0" showErrorMessage="0" allowBlank="1" type="list">
      <formula1>OutcomeList</formula1>
    </dataValidation>
    <dataValidation sqref="J4:J285" showDropDown="0" showInputMessage="0" showErrorMessage="0" allowBlank="1" type="list">
      <formula1>YesNoList</formula1>
    </dataValidation>
    <dataValidation sqref="K4:K285" showDropDown="0" showInputMessage="0" showErrorMessage="0" allowBlank="1" type="list">
      <formula1>YesNoList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45"/>
  <sheetViews>
    <sheetView workbookViewId="0">
      <pane ySplit="3" topLeftCell="A4" activePane="bottomLeft" state="frozen"/>
      <selection pane="bottomLeft" activeCell="A1" sqref="A1"/>
    </sheetView>
  </sheetViews>
  <sheetFormatPr baseColWidth="8" defaultRowHeight="15"/>
  <cols>
    <col width="46" customWidth="1" min="1" max="1"/>
    <col width="18" customWidth="1" min="2" max="2"/>
    <col width="15" customWidth="1" min="3" max="3"/>
    <col width="12" customWidth="1" min="4" max="4"/>
    <col width="12" customWidth="1" min="5" max="5"/>
    <col width="14" customWidth="1" min="6" max="6"/>
    <col width="13" customWidth="1" min="7" max="7"/>
    <col width="12" customWidth="1" min="8" max="8"/>
    <col width="14" customWidth="1" min="9" max="9"/>
    <col width="14" customWidth="1" min="10" max="10"/>
    <col width="52" customWidth="1" min="11" max="11"/>
  </cols>
  <sheetData>
    <row r="1" ht="26" customHeight="1">
      <c r="A1" s="29" t="inlineStr">
        <is>
          <t>Radiation Safety - Facility and Worker Protection</t>
        </is>
      </c>
    </row>
    <row r="2" ht="15" customHeight="1">
      <c r="A2" s="30" t="inlineStr">
        <is>
          <t>One row per licensed facility. Dose is the average annual effective dose per monitored worker against the IAEA 20 mSv occupational limit.</t>
        </is>
      </c>
    </row>
    <row r="3" ht="30" customHeight="1">
      <c r="A3" s="31" t="inlineStr">
        <is>
          <t>Facility</t>
        </is>
      </c>
      <c r="B3" s="31" t="inlineStr">
        <is>
          <t>County</t>
        </is>
      </c>
      <c r="C3" s="31" t="inlineStr">
        <is>
          <t>Facility Type</t>
        </is>
      </c>
      <c r="D3" s="31" t="inlineStr">
        <is>
          <t>Sources Inventoried</t>
        </is>
      </c>
      <c r="E3" s="31" t="inlineStr">
        <is>
          <t>Workers Monitored</t>
        </is>
      </c>
      <c r="F3" s="31" t="inlineStr">
        <is>
          <t>Avg Annual Dose (mSv)</t>
        </is>
      </c>
      <c r="G3" s="31" t="inlineStr">
        <is>
          <t>Within 20 mSv Limit</t>
        </is>
      </c>
      <c r="H3" s="31" t="inlineStr">
        <is>
          <t>PPE Compliance</t>
        </is>
      </c>
      <c r="I3" s="31" t="inlineStr">
        <is>
          <t>Instrument Calibration Current</t>
        </is>
      </c>
      <c r="J3" s="31" t="inlineStr">
        <is>
          <t>Last Inventory Date</t>
        </is>
      </c>
      <c r="K3" s="31" t="inlineStr">
        <is>
          <t>Notes</t>
        </is>
      </c>
    </row>
    <row r="4">
      <c r="A4" t="inlineStr">
        <is>
          <t>JFK Memorial Hospital - Radiology</t>
        </is>
      </c>
      <c r="B4" t="inlineStr">
        <is>
          <t>Montserrado</t>
        </is>
      </c>
      <c r="C4" t="inlineStr">
        <is>
          <t>Medical</t>
        </is>
      </c>
      <c r="D4" s="33" t="n">
        <v>2</v>
      </c>
      <c r="E4" s="33" t="n">
        <v>3</v>
      </c>
      <c r="F4" s="35" t="n">
        <v>5.6</v>
      </c>
      <c r="G4" t="str">
        <f>IF(F4&lt;=20.0,"Yes","No")</f>
        <v>Yes</v>
      </c>
      <c r="H4" s="36" t="n">
        <v>0.8</v>
      </c>
      <c r="I4" t="inlineStr">
        <is>
          <t>Yes</t>
        </is>
      </c>
      <c r="J4" s="32" t="n">
        <v>46174</v>
      </c>
      <c r="K4" t="inlineStr">
        <is>
          <t>Source register complete; leak test scheduled.</t>
        </is>
      </c>
    </row>
    <row r="5">
      <c r="A5" t="inlineStr">
        <is>
          <t>JFK Memorial Hospital - Radiotherapy</t>
        </is>
      </c>
      <c r="B5" t="inlineStr">
        <is>
          <t>Montserrado</t>
        </is>
      </c>
      <c r="C5" t="inlineStr">
        <is>
          <t>Medical</t>
        </is>
      </c>
      <c r="D5" s="33" t="n">
        <v>2</v>
      </c>
      <c r="E5" s="33" t="n">
        <v>3</v>
      </c>
      <c r="F5" s="35" t="n">
        <v>10.1</v>
      </c>
      <c r="G5" t="str">
        <f>IF(F5&lt;=20.0,"Yes","No")</f>
        <v>Yes</v>
      </c>
      <c r="H5" s="36" t="n">
        <v>0.95</v>
      </c>
      <c r="I5" t="inlineStr">
        <is>
          <t>Yes</t>
        </is>
      </c>
      <c r="J5" s="32" t="n">
        <v>46071</v>
      </c>
      <c r="K5" t="inlineStr">
        <is>
          <t>Licence current; next inventory due within 12 months.</t>
        </is>
      </c>
    </row>
    <row r="6">
      <c r="A6" t="inlineStr">
        <is>
          <t>Redemption Hospital - Radiology</t>
        </is>
      </c>
      <c r="B6" t="inlineStr">
        <is>
          <t>Montserrado</t>
        </is>
      </c>
      <c r="C6" t="inlineStr">
        <is>
          <t>Medical</t>
        </is>
      </c>
      <c r="D6" s="33" t="n">
        <v>2</v>
      </c>
      <c r="E6" s="33" t="n">
        <v>3</v>
      </c>
      <c r="F6" s="35" t="n">
        <v>1.7</v>
      </c>
      <c r="G6" t="str">
        <f>IF(F6&lt;=20.0,"Yes","No")</f>
        <v>Yes</v>
      </c>
      <c r="H6" s="36" t="n">
        <v>0.8</v>
      </c>
      <c r="I6" t="inlineStr">
        <is>
          <t>Yes</t>
        </is>
      </c>
      <c r="J6" s="32" t="n">
        <v>46246</v>
      </c>
      <c r="K6" t="inlineStr">
        <is>
          <t>Instrument calibration overdue - follow-up inspection scheduled.</t>
        </is>
      </c>
    </row>
    <row r="7">
      <c r="A7" t="inlineStr">
        <is>
          <t>St. Joseph's Catholic Hospital - Radiology</t>
        </is>
      </c>
      <c r="B7" t="inlineStr">
        <is>
          <t>Montserrado</t>
        </is>
      </c>
      <c r="C7" t="inlineStr">
        <is>
          <t>Medical</t>
        </is>
      </c>
      <c r="D7" s="33" t="n">
        <v>1</v>
      </c>
      <c r="E7" s="33" t="n">
        <v>11</v>
      </c>
      <c r="F7" s="35" t="n">
        <v>23.5</v>
      </c>
      <c r="G7" t="str">
        <f>IF(F7&lt;=20.0,"Yes","No")</f>
        <v>No</v>
      </c>
      <c r="H7" s="36" t="n">
        <v>0.89</v>
      </c>
      <c r="I7" t="inlineStr">
        <is>
          <t>Yes</t>
        </is>
      </c>
      <c r="J7" s="32" t="n">
        <v>46032</v>
      </c>
      <c r="K7" t="inlineStr">
        <is>
          <t>Instrument calibration overdue - follow-up inspection scheduled.</t>
        </is>
      </c>
    </row>
    <row r="8">
      <c r="A8" t="inlineStr">
        <is>
          <t>C.H. Rennie Hospital - Radiology</t>
        </is>
      </c>
      <c r="B8" t="inlineStr">
        <is>
          <t>Margibi</t>
        </is>
      </c>
      <c r="C8" t="inlineStr">
        <is>
          <t>Medical</t>
        </is>
      </c>
      <c r="D8" s="33" t="n">
        <v>5</v>
      </c>
      <c r="E8" s="33" t="n">
        <v>2</v>
      </c>
      <c r="F8" s="35" t="n">
        <v>1.1</v>
      </c>
      <c r="G8" t="str">
        <f>IF(F8&lt;=20.0,"Yes","No")</f>
        <v>Yes</v>
      </c>
      <c r="H8" s="36" t="n">
        <v>0.83</v>
      </c>
      <c r="I8" t="inlineStr">
        <is>
          <t>Yes</t>
        </is>
      </c>
      <c r="J8" s="32" t="n">
        <v>46095</v>
      </c>
      <c r="K8" t="inlineStr">
        <is>
          <t>Source register complete; leak test scheduled.</t>
        </is>
      </c>
    </row>
    <row r="9">
      <c r="A9" t="inlineStr">
        <is>
          <t>Phebe Hospital - Radiology</t>
        </is>
      </c>
      <c r="B9" t="inlineStr">
        <is>
          <t>Bong</t>
        </is>
      </c>
      <c r="C9" t="inlineStr">
        <is>
          <t>Medical</t>
        </is>
      </c>
      <c r="D9" s="33" t="n">
        <v>2</v>
      </c>
      <c r="E9" s="33" t="n">
        <v>2</v>
      </c>
      <c r="F9" s="35" t="n">
        <v>12.2</v>
      </c>
      <c r="G9" t="str">
        <f>IF(F9&lt;=20.0,"Yes","No")</f>
        <v>Yes</v>
      </c>
      <c r="H9" s="36" t="n">
        <v>0.7</v>
      </c>
      <c r="I9" t="inlineStr">
        <is>
          <t>No</t>
        </is>
      </c>
      <c r="J9" s="32" t="n">
        <v>46085</v>
      </c>
      <c r="K9" t="inlineStr">
        <is>
          <t>Source register complete; leak test scheduled.</t>
        </is>
      </c>
    </row>
    <row r="10">
      <c r="A10" t="inlineStr">
        <is>
          <t>Ganta United Methodist Hospital - Radiology</t>
        </is>
      </c>
      <c r="B10" t="inlineStr">
        <is>
          <t>Nimba</t>
        </is>
      </c>
      <c r="C10" t="inlineStr">
        <is>
          <t>Medical</t>
        </is>
      </c>
      <c r="D10" s="33" t="n">
        <v>3</v>
      </c>
      <c r="E10" s="33" t="n">
        <v>6</v>
      </c>
      <c r="F10" s="35" t="n">
        <v>12.2</v>
      </c>
      <c r="G10" t="str">
        <f>IF(F10&lt;=20.0,"Yes","No")</f>
        <v>Yes</v>
      </c>
      <c r="H10" s="36" t="n">
        <v>0.71</v>
      </c>
      <c r="I10" t="inlineStr">
        <is>
          <t>Yes</t>
        </is>
      </c>
      <c r="J10" s="32" t="n">
        <v>46132</v>
      </c>
      <c r="K10" t="inlineStr">
        <is>
          <t>Dose records reviewed on site; filing to be improved.</t>
        </is>
      </c>
    </row>
    <row r="11">
      <c r="A11" t="inlineStr">
        <is>
          <t>Tappita Referral Hospital - Radiology</t>
        </is>
      </c>
      <c r="B11" t="inlineStr">
        <is>
          <t>Nimba</t>
        </is>
      </c>
      <c r="C11" t="inlineStr">
        <is>
          <t>Medical</t>
        </is>
      </c>
      <c r="D11" s="33" t="n">
        <v>2</v>
      </c>
      <c r="E11" s="33" t="n">
        <v>19</v>
      </c>
      <c r="F11" s="35" t="n">
        <v>5.4</v>
      </c>
      <c r="G11" t="str">
        <f>IF(F11&lt;=20.0,"Yes","No")</f>
        <v>Yes</v>
      </c>
      <c r="H11" s="36" t="n">
        <v>1</v>
      </c>
      <c r="I11" t="inlineStr">
        <is>
          <t>Yes</t>
        </is>
      </c>
      <c r="J11" s="32" t="n">
        <v>46130</v>
      </c>
      <c r="K11" t="inlineStr">
        <is>
          <t>PPE stock low - resupply requested by facility.</t>
        </is>
      </c>
    </row>
    <row r="12">
      <c r="A12" t="inlineStr">
        <is>
          <t>Buchanan Government Hospital - Radiology</t>
        </is>
      </c>
      <c r="B12" t="inlineStr">
        <is>
          <t>Grand Bassa</t>
        </is>
      </c>
      <c r="C12" t="inlineStr">
        <is>
          <t>Medical</t>
        </is>
      </c>
      <c r="D12" s="33" t="n">
        <v>2</v>
      </c>
      <c r="E12" s="33" t="n">
        <v>8</v>
      </c>
      <c r="F12" s="35" t="n">
        <v>0.6</v>
      </c>
      <c r="G12" t="str">
        <f>IF(F12&lt;=20.0,"Yes","No")</f>
        <v>Yes</v>
      </c>
      <c r="H12" s="36" t="n">
        <v>0.92</v>
      </c>
      <c r="I12" t="inlineStr">
        <is>
          <t>Yes</t>
        </is>
      </c>
      <c r="J12" s="32" t="n">
        <v>46233</v>
      </c>
      <c r="K12" t="inlineStr">
        <is>
          <t>Source register complete; leak test scheduled.</t>
        </is>
      </c>
    </row>
    <row r="13">
      <c r="A13" t="inlineStr">
        <is>
          <t>Curran Lutheran Hospital - Radiology</t>
        </is>
      </c>
      <c r="B13" t="inlineStr">
        <is>
          <t>Lofa</t>
        </is>
      </c>
      <c r="C13" t="inlineStr">
        <is>
          <t>Medical</t>
        </is>
      </c>
      <c r="D13" s="33" t="n">
        <v>4</v>
      </c>
      <c r="E13" s="33" t="n">
        <v>2</v>
      </c>
      <c r="F13" s="35" t="n">
        <v>0.9</v>
      </c>
      <c r="G13" t="str">
        <f>IF(F13&lt;=20.0,"Yes","No")</f>
        <v>Yes</v>
      </c>
      <c r="H13" s="36" t="n">
        <v>0.7</v>
      </c>
      <c r="I13" t="inlineStr">
        <is>
          <t>Yes</t>
        </is>
      </c>
      <c r="J13" s="32" t="n">
        <v>46235</v>
      </c>
      <c r="K13" t="inlineStr">
        <is>
          <t>Instrument calibration overdue - follow-up inspection scheduled.</t>
        </is>
      </c>
    </row>
    <row r="14">
      <c r="A14" t="inlineStr">
        <is>
          <t>St. Timothy Hospital - Radiology</t>
        </is>
      </c>
      <c r="B14" t="inlineStr">
        <is>
          <t>Grand Cape Mount</t>
        </is>
      </c>
      <c r="C14" t="inlineStr">
        <is>
          <t>Medical</t>
        </is>
      </c>
      <c r="D14" s="33" t="n">
        <v>1</v>
      </c>
      <c r="E14" s="33" t="n">
        <v>4</v>
      </c>
      <c r="F14" s="35" t="n">
        <v>3.6</v>
      </c>
      <c r="G14" t="str">
        <f>IF(F14&lt;=20.0,"Yes","No")</f>
        <v>Yes</v>
      </c>
      <c r="H14" s="36" t="n">
        <v>0.6899999999999999</v>
      </c>
      <c r="I14" t="inlineStr">
        <is>
          <t>Yes</t>
        </is>
      </c>
      <c r="J14" s="32" t="n">
        <v>46148</v>
      </c>
      <c r="K14" t="inlineStr">
        <is>
          <t>PPE stock low - resupply requested by facility.</t>
        </is>
      </c>
    </row>
    <row r="15">
      <c r="A15" t="inlineStr">
        <is>
          <t>Harper Hospital - Radiology</t>
        </is>
      </c>
      <c r="B15" t="inlineStr">
        <is>
          <t>Maryland</t>
        </is>
      </c>
      <c r="C15" t="inlineStr">
        <is>
          <t>Medical</t>
        </is>
      </c>
      <c r="D15" s="33" t="n">
        <v>4</v>
      </c>
      <c r="E15" s="33" t="n">
        <v>4</v>
      </c>
      <c r="F15" s="35" t="n">
        <v>11.9</v>
      </c>
      <c r="G15" t="str">
        <f>IF(F15&lt;=20.0,"Yes","No")</f>
        <v>Yes</v>
      </c>
      <c r="H15" s="36" t="n">
        <v>0.72</v>
      </c>
      <c r="I15" t="inlineStr">
        <is>
          <t>Yes</t>
        </is>
      </c>
      <c r="J15" s="32" t="n">
        <v>46053</v>
      </c>
      <c r="K15" t="inlineStr">
        <is>
          <t>Dose records reviewed on site; filing to be improved.</t>
        </is>
      </c>
    </row>
    <row r="16">
      <c r="A16" t="inlineStr">
        <is>
          <t>Martha Tubman Memorial Hospital - Radiology</t>
        </is>
      </c>
      <c r="B16" t="inlineStr">
        <is>
          <t>Grand Gedeh</t>
        </is>
      </c>
      <c r="C16" t="inlineStr">
        <is>
          <t>Medical</t>
        </is>
      </c>
      <c r="D16" s="33" t="n">
        <v>4</v>
      </c>
      <c r="E16" s="33" t="n">
        <v>14</v>
      </c>
      <c r="F16" s="35" t="n">
        <v>1.1</v>
      </c>
      <c r="G16" t="str">
        <f>IF(F16&lt;=20.0,"Yes","No")</f>
        <v>Yes</v>
      </c>
      <c r="H16" s="36" t="n">
        <v>0.92</v>
      </c>
      <c r="I16" t="inlineStr">
        <is>
          <t>Yes</t>
        </is>
      </c>
      <c r="J16" s="32" t="n">
        <v>46250</v>
      </c>
      <c r="K16" t="inlineStr">
        <is>
          <t>Instrument calibration overdue - follow-up inspection scheduled.</t>
        </is>
      </c>
    </row>
    <row r="17">
      <c r="A17" t="inlineStr">
        <is>
          <t>F.J. Grante Hospital - Radiology</t>
        </is>
      </c>
      <c r="B17" t="inlineStr">
        <is>
          <t>Sinoe</t>
        </is>
      </c>
      <c r="C17" t="inlineStr">
        <is>
          <t>Medical</t>
        </is>
      </c>
      <c r="D17" s="33" t="n">
        <v>3</v>
      </c>
      <c r="E17" s="33" t="n">
        <v>11</v>
      </c>
      <c r="F17" s="35" t="n">
        <v>2.7</v>
      </c>
      <c r="G17" t="str">
        <f>IF(F17&lt;=20.0,"Yes","No")</f>
        <v>Yes</v>
      </c>
      <c r="H17" s="36" t="n">
        <v>0.86</v>
      </c>
      <c r="I17" t="inlineStr">
        <is>
          <t>Yes</t>
        </is>
      </c>
      <c r="J17" s="32" t="n">
        <v>46186</v>
      </c>
      <c r="K17" t="inlineStr">
        <is>
          <t>Instrument calibration overdue - follow-up inspection scheduled.</t>
        </is>
      </c>
    </row>
    <row r="18">
      <c r="A18" t="inlineStr">
        <is>
          <t>Bomi County Health Center - Radiology</t>
        </is>
      </c>
      <c r="B18" t="inlineStr">
        <is>
          <t>Bomi</t>
        </is>
      </c>
      <c r="C18" t="inlineStr">
        <is>
          <t>Medical</t>
        </is>
      </c>
      <c r="D18" s="33" t="n">
        <v>2</v>
      </c>
      <c r="E18" s="33" t="n">
        <v>6</v>
      </c>
      <c r="F18" s="35" t="n">
        <v>11.2</v>
      </c>
      <c r="G18" t="str">
        <f>IF(F18&lt;=20.0,"Yes","No")</f>
        <v>Yes</v>
      </c>
      <c r="H18" s="36" t="n">
        <v>0.77</v>
      </c>
      <c r="I18" t="inlineStr">
        <is>
          <t>Yes</t>
        </is>
      </c>
      <c r="J18" s="32" t="n">
        <v>46151</v>
      </c>
      <c r="K18" t="inlineStr">
        <is>
          <t>Source register complete; leak test scheduled.</t>
        </is>
      </c>
    </row>
    <row r="19">
      <c r="A19" t="inlineStr">
        <is>
          <t>Pleebo Health Center - Radiology</t>
        </is>
      </c>
      <c r="B19" t="inlineStr">
        <is>
          <t>Maryland</t>
        </is>
      </c>
      <c r="C19" t="inlineStr">
        <is>
          <t>Medical</t>
        </is>
      </c>
      <c r="D19" s="33" t="n">
        <v>4</v>
      </c>
      <c r="E19" s="33" t="n">
        <v>3</v>
      </c>
      <c r="F19" s="35" t="n">
        <v>3.1</v>
      </c>
      <c r="G19" t="str">
        <f>IF(F19&lt;=20.0,"Yes","No")</f>
        <v>Yes</v>
      </c>
      <c r="H19" s="36" t="n">
        <v>0.87</v>
      </c>
      <c r="I19" t="inlineStr">
        <is>
          <t>Yes</t>
        </is>
      </c>
      <c r="J19" s="32" t="n">
        <v>46174</v>
      </c>
      <c r="K19" t="inlineStr">
        <is>
          <t>Instrument calibration overdue - follow-up inspection scheduled.</t>
        </is>
      </c>
    </row>
    <row r="20">
      <c r="A20" t="inlineStr">
        <is>
          <t>Saclepea Health Center - Radiology</t>
        </is>
      </c>
      <c r="B20" t="inlineStr">
        <is>
          <t>Nimba</t>
        </is>
      </c>
      <c r="C20" t="inlineStr">
        <is>
          <t>Medical</t>
        </is>
      </c>
      <c r="D20" s="33" t="n">
        <v>3</v>
      </c>
      <c r="E20" s="33" t="n">
        <v>4</v>
      </c>
      <c r="F20" s="35" t="n">
        <v>4.6</v>
      </c>
      <c r="G20" t="str">
        <f>IF(F20&lt;=20.0,"Yes","No")</f>
        <v>Yes</v>
      </c>
      <c r="H20" s="36" t="n">
        <v>0.8100000000000001</v>
      </c>
      <c r="I20" t="inlineStr">
        <is>
          <t>Yes</t>
        </is>
      </c>
      <c r="J20" s="32" t="n">
        <v>46059</v>
      </c>
      <c r="K20" t="inlineStr">
        <is>
          <t>Source register complete; leak test scheduled.</t>
        </is>
      </c>
    </row>
    <row r="21">
      <c r="A21" t="inlineStr">
        <is>
          <t>Foya Health Center - Radiology</t>
        </is>
      </c>
      <c r="B21" t="inlineStr">
        <is>
          <t>Lofa</t>
        </is>
      </c>
      <c r="C21" t="inlineStr">
        <is>
          <t>Medical</t>
        </is>
      </c>
      <c r="D21" s="33" t="n">
        <v>5</v>
      </c>
      <c r="E21" s="33" t="n">
        <v>4</v>
      </c>
      <c r="F21" s="35" t="n">
        <v>5.7</v>
      </c>
      <c r="G21" t="str">
        <f>IF(F21&lt;=20.0,"Yes","No")</f>
        <v>Yes</v>
      </c>
      <c r="H21" s="36" t="n">
        <v>0.83</v>
      </c>
      <c r="I21" t="inlineStr">
        <is>
          <t>No</t>
        </is>
      </c>
      <c r="J21" s="32" t="n">
        <v>46114</v>
      </c>
      <c r="K21" t="inlineStr">
        <is>
          <t>Dose records reviewed on site; filing to be improved.</t>
        </is>
      </c>
    </row>
    <row r="22">
      <c r="A22" t="inlineStr">
        <is>
          <t>Zwedru Health Center - Radiology</t>
        </is>
      </c>
      <c r="B22" t="inlineStr">
        <is>
          <t>Grand Gedeh</t>
        </is>
      </c>
      <c r="C22" t="inlineStr">
        <is>
          <t>Medical</t>
        </is>
      </c>
      <c r="D22" s="33" t="n">
        <v>5</v>
      </c>
      <c r="E22" s="33" t="n">
        <v>26</v>
      </c>
      <c r="F22" s="35" t="n">
        <v>4.1</v>
      </c>
      <c r="G22" t="str">
        <f>IF(F22&lt;=20.0,"Yes","No")</f>
        <v>Yes</v>
      </c>
      <c r="H22" s="36" t="n">
        <v>0.78</v>
      </c>
      <c r="I22" t="inlineStr">
        <is>
          <t>Yes</t>
        </is>
      </c>
      <c r="J22" s="32" t="n">
        <v>46199</v>
      </c>
      <c r="K22" t="inlineStr">
        <is>
          <t>Licence current; next inventory due within 12 months.</t>
        </is>
      </c>
    </row>
    <row r="23">
      <c r="A23" t="inlineStr">
        <is>
          <t>Bopolu Health Center - Radiology</t>
        </is>
      </c>
      <c r="B23" t="inlineStr">
        <is>
          <t>Gbarpolu</t>
        </is>
      </c>
      <c r="C23" t="inlineStr">
        <is>
          <t>Medical</t>
        </is>
      </c>
      <c r="D23" s="33" t="n">
        <v>2</v>
      </c>
      <c r="E23" s="33" t="n">
        <v>19</v>
      </c>
      <c r="F23" s="35" t="n">
        <v>4.9</v>
      </c>
      <c r="G23" t="str">
        <f>IF(F23&lt;=20.0,"Yes","No")</f>
        <v>Yes</v>
      </c>
      <c r="H23" s="36" t="n">
        <v>0.95</v>
      </c>
      <c r="I23" t="inlineStr">
        <is>
          <t>Yes</t>
        </is>
      </c>
      <c r="J23" s="32" t="n">
        <v>46248</v>
      </c>
      <c r="K23" t="inlineStr">
        <is>
          <t>Source register complete; leak test scheduled.</t>
        </is>
      </c>
    </row>
    <row r="24">
      <c r="A24" t="inlineStr">
        <is>
          <t>Liberia Cement Corporation - Level Gauge</t>
        </is>
      </c>
      <c r="B24" t="inlineStr">
        <is>
          <t>Montserrado</t>
        </is>
      </c>
      <c r="C24" t="inlineStr">
        <is>
          <t>Industrial</t>
        </is>
      </c>
      <c r="D24" s="33" t="n">
        <v>3</v>
      </c>
      <c r="E24" s="33" t="n">
        <v>4</v>
      </c>
      <c r="F24" s="35" t="n">
        <v>27.1</v>
      </c>
      <c r="G24" t="str">
        <f>IF(F24&lt;=20.0,"Yes","No")</f>
        <v>No</v>
      </c>
      <c r="H24" s="36" t="n">
        <v>0.95</v>
      </c>
      <c r="I24" t="inlineStr">
        <is>
          <t>Yes</t>
        </is>
      </c>
      <c r="J24" s="32" t="n">
        <v>46181</v>
      </c>
      <c r="K24" t="inlineStr">
        <is>
          <t>PPE stock low - resupply requested by facility.</t>
        </is>
      </c>
    </row>
    <row r="25">
      <c r="A25" t="inlineStr">
        <is>
          <t>Monrovia Breweries - Level Gauge</t>
        </is>
      </c>
      <c r="B25" t="inlineStr">
        <is>
          <t>Montserrado</t>
        </is>
      </c>
      <c r="C25" t="inlineStr">
        <is>
          <t>Industrial</t>
        </is>
      </c>
      <c r="D25" s="33" t="n">
        <v>4</v>
      </c>
      <c r="E25" s="33" t="n">
        <v>8</v>
      </c>
      <c r="F25" s="35" t="n">
        <v>3.9</v>
      </c>
      <c r="G25" t="str">
        <f>IF(F25&lt;=20.0,"Yes","No")</f>
        <v>Yes</v>
      </c>
      <c r="H25" s="36" t="n">
        <v>0.97</v>
      </c>
      <c r="I25" t="inlineStr">
        <is>
          <t>Yes</t>
        </is>
      </c>
      <c r="J25" s="32" t="n">
        <v>46241</v>
      </c>
      <c r="K25" t="inlineStr">
        <is>
          <t>Instrument calibration overdue - follow-up inspection scheduled.</t>
        </is>
      </c>
    </row>
    <row r="26">
      <c r="A26" t="inlineStr">
        <is>
          <t>ArcelorMittal Buchanan - Density Gauge</t>
        </is>
      </c>
      <c r="B26" t="inlineStr">
        <is>
          <t>Grand Bassa</t>
        </is>
      </c>
      <c r="C26" t="inlineStr">
        <is>
          <t>Industrial</t>
        </is>
      </c>
      <c r="D26" s="33" t="n">
        <v>3</v>
      </c>
      <c r="E26" s="33" t="n">
        <v>8</v>
      </c>
      <c r="F26" s="35" t="n">
        <v>3.4</v>
      </c>
      <c r="G26" t="str">
        <f>IF(F26&lt;=20.0,"Yes","No")</f>
        <v>Yes</v>
      </c>
      <c r="H26" s="36" t="n">
        <v>0.93</v>
      </c>
      <c r="I26" t="inlineStr">
        <is>
          <t>Yes</t>
        </is>
      </c>
      <c r="J26" s="32" t="n">
        <v>46061</v>
      </c>
      <c r="K26" t="inlineStr">
        <is>
          <t>Licence current; next inventory due within 12 months.</t>
        </is>
      </c>
    </row>
    <row r="27">
      <c r="A27" t="inlineStr">
        <is>
          <t>Bea Mountain Mining - Density Gauge</t>
        </is>
      </c>
      <c r="B27" t="inlineStr">
        <is>
          <t>Grand Cape Mount</t>
        </is>
      </c>
      <c r="C27" t="inlineStr">
        <is>
          <t>Industrial</t>
        </is>
      </c>
      <c r="D27" s="33" t="n">
        <v>3</v>
      </c>
      <c r="E27" s="33" t="n">
        <v>11</v>
      </c>
      <c r="F27" s="35" t="n">
        <v>2.7</v>
      </c>
      <c r="G27" t="str">
        <f>IF(F27&lt;=20.0,"Yes","No")</f>
        <v>Yes</v>
      </c>
      <c r="H27" s="36" t="n">
        <v>0.82</v>
      </c>
      <c r="I27" t="inlineStr">
        <is>
          <t>Yes</t>
        </is>
      </c>
      <c r="J27" s="32" t="n">
        <v>46145</v>
      </c>
      <c r="K27" t="inlineStr">
        <is>
          <t>Dose records reviewed on site; filing to be improved.</t>
        </is>
      </c>
    </row>
    <row r="28">
      <c r="A28" t="inlineStr">
        <is>
          <t>China Union Bong Mines - Density Gauge</t>
        </is>
      </c>
      <c r="B28" t="inlineStr">
        <is>
          <t>Bong</t>
        </is>
      </c>
      <c r="C28" t="inlineStr">
        <is>
          <t>Industrial</t>
        </is>
      </c>
      <c r="D28" s="33" t="n">
        <v>1</v>
      </c>
      <c r="E28" s="33" t="n">
        <v>4</v>
      </c>
      <c r="F28" s="35" t="n">
        <v>6.2</v>
      </c>
      <c r="G28" t="str">
        <f>IF(F28&lt;=20.0,"Yes","No")</f>
        <v>Yes</v>
      </c>
      <c r="H28" s="36" t="n">
        <v>0.73</v>
      </c>
      <c r="I28" t="inlineStr">
        <is>
          <t>Yes</t>
        </is>
      </c>
      <c r="J28" s="32" t="n">
        <v>46024</v>
      </c>
      <c r="K28" t="inlineStr">
        <is>
          <t>Source register complete; leak test scheduled.</t>
        </is>
      </c>
    </row>
    <row r="29">
      <c r="A29" t="inlineStr">
        <is>
          <t>Nimba Western Range Iron Ore - Level Gauge</t>
        </is>
      </c>
      <c r="B29" t="inlineStr">
        <is>
          <t>Nimba</t>
        </is>
      </c>
      <c r="C29" t="inlineStr">
        <is>
          <t>Industrial</t>
        </is>
      </c>
      <c r="D29" s="33" t="n">
        <v>7</v>
      </c>
      <c r="E29" s="33" t="n">
        <v>2</v>
      </c>
      <c r="F29" s="35" t="n">
        <v>4.2</v>
      </c>
      <c r="G29" t="str">
        <f>IF(F29&lt;=20.0,"Yes","No")</f>
        <v>Yes</v>
      </c>
      <c r="H29" s="36" t="n">
        <v>0.71</v>
      </c>
      <c r="I29" t="inlineStr">
        <is>
          <t>Yes</t>
        </is>
      </c>
      <c r="J29" s="32" t="n">
        <v>46211</v>
      </c>
      <c r="K29" t="inlineStr">
        <is>
          <t>Licence current; next inventory due within 12 months.</t>
        </is>
      </c>
    </row>
    <row r="30">
      <c r="A30" t="inlineStr">
        <is>
          <t>Firestone Rubber Plantation - Thickness Gauge</t>
        </is>
      </c>
      <c r="B30" t="inlineStr">
        <is>
          <t>Margibi</t>
        </is>
      </c>
      <c r="C30" t="inlineStr">
        <is>
          <t>Industrial</t>
        </is>
      </c>
      <c r="D30" s="33" t="n">
        <v>5</v>
      </c>
      <c r="E30" s="33" t="n">
        <v>8</v>
      </c>
      <c r="F30" s="35" t="n">
        <v>10.8</v>
      </c>
      <c r="G30" t="str">
        <f>IF(F30&lt;=20.0,"Yes","No")</f>
        <v>Yes</v>
      </c>
      <c r="H30" s="36" t="n">
        <v>0.73</v>
      </c>
      <c r="I30" t="inlineStr">
        <is>
          <t>Yes</t>
        </is>
      </c>
      <c r="J30" s="32" t="n">
        <v>46217</v>
      </c>
      <c r="K30" t="inlineStr">
        <is>
          <t>PPE stock low - resupply requested by facility.</t>
        </is>
      </c>
    </row>
    <row r="31">
      <c r="A31" t="inlineStr">
        <is>
          <t>Golden Veroleum Palm Oil - Level Gauge</t>
        </is>
      </c>
      <c r="B31" t="inlineStr">
        <is>
          <t>Sinoe</t>
        </is>
      </c>
      <c r="C31" t="inlineStr">
        <is>
          <t>Industrial</t>
        </is>
      </c>
      <c r="D31" s="33" t="n">
        <v>5</v>
      </c>
      <c r="E31" s="33" t="n">
        <v>14</v>
      </c>
      <c r="F31" s="35" t="n">
        <v>3.4</v>
      </c>
      <c r="G31" t="str">
        <f>IF(F31&lt;=20.0,"Yes","No")</f>
        <v>Yes</v>
      </c>
      <c r="H31" s="36" t="n">
        <v>0.89</v>
      </c>
      <c r="I31" t="inlineStr">
        <is>
          <t>Yes</t>
        </is>
      </c>
      <c r="J31" s="32" t="n">
        <v>46114</v>
      </c>
      <c r="K31" t="inlineStr">
        <is>
          <t>Source register complete; leak test scheduled.</t>
        </is>
      </c>
    </row>
    <row r="32">
      <c r="A32" t="inlineStr">
        <is>
          <t>Cavalla Rubber Corporation - Density Gauge</t>
        </is>
      </c>
      <c r="B32" t="inlineStr">
        <is>
          <t>Grand Bassa</t>
        </is>
      </c>
      <c r="C32" t="inlineStr">
        <is>
          <t>Industrial</t>
        </is>
      </c>
      <c r="D32" s="33" t="n">
        <v>7</v>
      </c>
      <c r="E32" s="33" t="n">
        <v>4</v>
      </c>
      <c r="F32" s="35" t="n">
        <v>3.8</v>
      </c>
      <c r="G32" t="str">
        <f>IF(F32&lt;=20.0,"Yes","No")</f>
        <v>Yes</v>
      </c>
      <c r="H32" s="36" t="n">
        <v>0.79</v>
      </c>
      <c r="I32" t="inlineStr">
        <is>
          <t>Yes</t>
        </is>
      </c>
      <c r="J32" s="32" t="n">
        <v>46033</v>
      </c>
      <c r="K32" t="inlineStr">
        <is>
          <t>PPE stock low - resupply requested by facility.</t>
        </is>
      </c>
    </row>
    <row r="33">
      <c r="A33" t="inlineStr">
        <is>
          <t>Buchanan Port Terminal - Baggage Scanner</t>
        </is>
      </c>
      <c r="B33" t="inlineStr">
        <is>
          <t>Grand Bassa</t>
        </is>
      </c>
      <c r="C33" t="inlineStr">
        <is>
          <t>Industrial</t>
        </is>
      </c>
      <c r="D33" s="33" t="n">
        <v>3</v>
      </c>
      <c r="E33" s="33" t="n">
        <v>14</v>
      </c>
      <c r="F33" s="35" t="n">
        <v>4.3</v>
      </c>
      <c r="G33" t="str">
        <f>IF(F33&lt;=20.0,"Yes","No")</f>
        <v>Yes</v>
      </c>
      <c r="H33" s="36" t="n">
        <v>0.7</v>
      </c>
      <c r="I33" t="inlineStr">
        <is>
          <t>Yes</t>
        </is>
      </c>
      <c r="J33" s="32" t="n">
        <v>46093</v>
      </c>
      <c r="K33" t="inlineStr">
        <is>
          <t>Dose records reviewed on site; filing to be improved.</t>
        </is>
      </c>
    </row>
    <row r="34">
      <c r="A34" t="inlineStr">
        <is>
          <t>Liberia Petroleum Refinery - Level Gauge</t>
        </is>
      </c>
      <c r="B34" t="inlineStr">
        <is>
          <t>Montserrado</t>
        </is>
      </c>
      <c r="C34" t="inlineStr">
        <is>
          <t>Industrial</t>
        </is>
      </c>
      <c r="D34" s="33" t="n">
        <v>5</v>
      </c>
      <c r="E34" s="33" t="n">
        <v>8</v>
      </c>
      <c r="F34" s="35" t="n">
        <v>9.9</v>
      </c>
      <c r="G34" t="str">
        <f>IF(F34&lt;=20.0,"Yes","No")</f>
        <v>Yes</v>
      </c>
      <c r="H34" s="36" t="n">
        <v>0.9</v>
      </c>
      <c r="I34" t="inlineStr">
        <is>
          <t>Yes</t>
        </is>
      </c>
      <c r="J34" s="32" t="n">
        <v>46253</v>
      </c>
      <c r="K34" t="inlineStr">
        <is>
          <t>Instrument calibration overdue - follow-up inspection scheduled.</t>
        </is>
      </c>
    </row>
    <row r="35">
      <c r="A35" t="inlineStr">
        <is>
          <t>Nimba Western Range - Portable Moisture Gauge</t>
        </is>
      </c>
      <c r="B35" t="inlineStr">
        <is>
          <t>Nimba</t>
        </is>
      </c>
      <c r="C35" t="inlineStr">
        <is>
          <t>Industrial</t>
        </is>
      </c>
      <c r="D35" s="33" t="n">
        <v>4</v>
      </c>
      <c r="E35" s="33" t="n">
        <v>6</v>
      </c>
      <c r="F35" s="35" t="n">
        <v>7.5</v>
      </c>
      <c r="G35" t="str">
        <f>IF(F35&lt;=20.0,"Yes","No")</f>
        <v>Yes</v>
      </c>
      <c r="H35" s="36" t="n">
        <v>0.8</v>
      </c>
      <c r="I35" t="inlineStr">
        <is>
          <t>Yes</t>
        </is>
      </c>
      <c r="J35" s="32" t="n">
        <v>46250</v>
      </c>
      <c r="K35" t="inlineStr">
        <is>
          <t>Dose records reviewed on site; filing to be improved.</t>
        </is>
      </c>
    </row>
    <row r="36">
      <c r="A36" t="inlineStr">
        <is>
          <t>Environmental Protection Agency - XRF Analyser</t>
        </is>
      </c>
      <c r="B36" t="inlineStr">
        <is>
          <t>Montserrado</t>
        </is>
      </c>
      <c r="C36" t="inlineStr">
        <is>
          <t>Environmental</t>
        </is>
      </c>
      <c r="D36" s="33" t="n">
        <v>5</v>
      </c>
      <c r="E36" s="33" t="n">
        <v>19</v>
      </c>
      <c r="F36" s="35" t="n">
        <v>2.7</v>
      </c>
      <c r="G36" t="str">
        <f>IF(F36&lt;=20.0,"Yes","No")</f>
        <v>Yes</v>
      </c>
      <c r="H36" s="36" t="n">
        <v>0.82</v>
      </c>
      <c r="I36" t="inlineStr">
        <is>
          <t>No</t>
        </is>
      </c>
      <c r="J36" s="32" t="n">
        <v>46094</v>
      </c>
      <c r="K36" t="inlineStr">
        <is>
          <t>Instrument calibration overdue - follow-up inspection scheduled.</t>
        </is>
      </c>
    </row>
    <row r="37">
      <c r="A37" t="inlineStr">
        <is>
          <t>Liberia Geological Survey - XRF Analyser</t>
        </is>
      </c>
      <c r="B37" t="inlineStr">
        <is>
          <t>Montserrado</t>
        </is>
      </c>
      <c r="C37" t="inlineStr">
        <is>
          <t>Environmental</t>
        </is>
      </c>
      <c r="D37" s="33" t="n">
        <v>3</v>
      </c>
      <c r="E37" s="33" t="n">
        <v>2</v>
      </c>
      <c r="F37" s="35" t="n">
        <v>3.5</v>
      </c>
      <c r="G37" t="str">
        <f>IF(F37&lt;=20.0,"Yes","No")</f>
        <v>Yes</v>
      </c>
      <c r="H37" s="36" t="n">
        <v>0.8</v>
      </c>
      <c r="I37" t="inlineStr">
        <is>
          <t>Yes</t>
        </is>
      </c>
      <c r="J37" s="32" t="n">
        <v>46130</v>
      </c>
      <c r="K37" t="inlineStr">
        <is>
          <t>PPE stock low - resupply requested by facility.</t>
        </is>
      </c>
    </row>
    <row r="38">
      <c r="A38" t="inlineStr">
        <is>
          <t>University of Liberia - Gamma Spectroscopy</t>
        </is>
      </c>
      <c r="B38" t="inlineStr">
        <is>
          <t>Montserrado</t>
        </is>
      </c>
      <c r="C38" t="inlineStr">
        <is>
          <t>Environmental</t>
        </is>
      </c>
      <c r="D38" s="33" t="n">
        <v>5</v>
      </c>
      <c r="E38" s="33" t="n">
        <v>4</v>
      </c>
      <c r="F38" s="35" t="n">
        <v>9.5</v>
      </c>
      <c r="G38" t="str">
        <f>IF(F38&lt;=20.0,"Yes","No")</f>
        <v>Yes</v>
      </c>
      <c r="H38" s="36" t="n">
        <v>0.75</v>
      </c>
      <c r="I38" t="inlineStr">
        <is>
          <t>Yes</t>
        </is>
      </c>
      <c r="J38" s="32" t="n">
        <v>46073</v>
      </c>
      <c r="K38" t="inlineStr">
        <is>
          <t>Licence current; next inventory due within 12 months.</t>
        </is>
      </c>
    </row>
    <row r="39">
      <c r="A39" t="inlineStr">
        <is>
          <t>Cuttington University - XRF Analyser</t>
        </is>
      </c>
      <c r="B39" t="inlineStr">
        <is>
          <t>Bong</t>
        </is>
      </c>
      <c r="C39" t="inlineStr">
        <is>
          <t>Environmental</t>
        </is>
      </c>
      <c r="D39" s="33" t="n">
        <v>2</v>
      </c>
      <c r="E39" s="33" t="n">
        <v>4</v>
      </c>
      <c r="F39" s="35" t="n">
        <v>25.7</v>
      </c>
      <c r="G39" t="str">
        <f>IF(F39&lt;=20.0,"Yes","No")</f>
        <v>No</v>
      </c>
      <c r="H39" s="36" t="n">
        <v>0.95</v>
      </c>
      <c r="I39" t="inlineStr">
        <is>
          <t>No</t>
        </is>
      </c>
      <c r="J39" s="32" t="n">
        <v>46033</v>
      </c>
      <c r="K39" t="inlineStr">
        <is>
          <t>Instrument calibration overdue - follow-up inspection scheduled.</t>
        </is>
      </c>
    </row>
    <row r="40">
      <c r="A40" t="inlineStr">
        <is>
          <t>ERRS Department - Field Survey Meter</t>
        </is>
      </c>
      <c r="B40" t="inlineStr">
        <is>
          <t>Montserrado</t>
        </is>
      </c>
      <c r="C40" t="inlineStr">
        <is>
          <t>Environmental</t>
        </is>
      </c>
      <c r="D40" s="33" t="n">
        <v>5</v>
      </c>
      <c r="E40" s="33" t="n">
        <v>2</v>
      </c>
      <c r="F40" s="35" t="n">
        <v>0.3</v>
      </c>
      <c r="G40" t="str">
        <f>IF(F40&lt;=20.0,"Yes","No")</f>
        <v>Yes</v>
      </c>
      <c r="H40" s="36" t="n">
        <v>0.87</v>
      </c>
      <c r="I40" t="inlineStr">
        <is>
          <t>Yes</t>
        </is>
      </c>
      <c r="J40" s="32" t="n">
        <v>46092</v>
      </c>
      <c r="K40" t="inlineStr">
        <is>
          <t>Dose records reviewed on site; filing to be improved.</t>
        </is>
      </c>
    </row>
    <row r="41">
      <c r="A41" t="inlineStr">
        <is>
          <t>ERRS Department - Portable Dose Rate Meter</t>
        </is>
      </c>
      <c r="B41" t="inlineStr">
        <is>
          <t>Montserrado</t>
        </is>
      </c>
      <c r="C41" t="inlineStr">
        <is>
          <t>Environmental</t>
        </is>
      </c>
      <c r="D41" s="33" t="n">
        <v>3</v>
      </c>
      <c r="E41" s="33" t="n">
        <v>14</v>
      </c>
      <c r="F41" s="35" t="n">
        <v>1.1</v>
      </c>
      <c r="G41" t="str">
        <f>IF(F41&lt;=20.0,"Yes","No")</f>
        <v>Yes</v>
      </c>
      <c r="H41" s="36" t="n">
        <v>0.8</v>
      </c>
      <c r="I41" t="inlineStr">
        <is>
          <t>Yes</t>
        </is>
      </c>
      <c r="J41" s="32" t="n">
        <v>46230</v>
      </c>
      <c r="K41" t="inlineStr">
        <is>
          <t>Licence current; next inventory due within 12 months.</t>
        </is>
      </c>
    </row>
    <row r="42">
      <c r="A42" t="inlineStr">
        <is>
          <t>Mining Cadastre Office - Density Gauge</t>
        </is>
      </c>
      <c r="B42" t="inlineStr">
        <is>
          <t>Montserrado</t>
        </is>
      </c>
      <c r="C42" t="inlineStr">
        <is>
          <t>Environmental</t>
        </is>
      </c>
      <c r="D42" s="33" t="n">
        <v>2</v>
      </c>
      <c r="E42" s="33" t="n">
        <v>19</v>
      </c>
      <c r="F42" s="35" t="n">
        <v>7.9</v>
      </c>
      <c r="G42" t="str">
        <f>IF(F42&lt;=20.0,"Yes","No")</f>
        <v>Yes</v>
      </c>
      <c r="H42" s="36" t="n">
        <v>0.8</v>
      </c>
      <c r="I42" t="inlineStr">
        <is>
          <t>Yes</t>
        </is>
      </c>
      <c r="J42" s="32" t="n">
        <v>46065</v>
      </c>
      <c r="K42" t="inlineStr">
        <is>
          <t>Instrument calibration overdue - follow-up inspection scheduled.</t>
        </is>
      </c>
    </row>
    <row r="43">
      <c r="A43" t="inlineStr">
        <is>
          <t>National Standards Laboratory - Industrial Radiography</t>
        </is>
      </c>
      <c r="B43" t="inlineStr">
        <is>
          <t>Montserrado</t>
        </is>
      </c>
      <c r="C43" t="inlineStr">
        <is>
          <t>Environmental</t>
        </is>
      </c>
      <c r="D43" s="33" t="n">
        <v>3</v>
      </c>
      <c r="E43" s="33" t="n">
        <v>4</v>
      </c>
      <c r="F43" s="35" t="n">
        <v>8.6</v>
      </c>
      <c r="G43" t="str">
        <f>IF(F43&lt;=20.0,"Yes","No")</f>
        <v>Yes</v>
      </c>
      <c r="H43" s="36" t="n">
        <v>0.8</v>
      </c>
      <c r="I43" t="inlineStr">
        <is>
          <t>Yes</t>
        </is>
      </c>
      <c r="J43" s="32" t="n">
        <v>46032</v>
      </c>
      <c r="K43" t="inlineStr">
        <is>
          <t>Source register complete; leak test scheduled.</t>
        </is>
      </c>
    </row>
    <row r="44">
      <c r="A44" t="inlineStr">
        <is>
          <t>Sinoe Oil Palm Estate - Level Gauge</t>
        </is>
      </c>
      <c r="B44" t="inlineStr">
        <is>
          <t>Sinoe</t>
        </is>
      </c>
      <c r="C44" t="inlineStr">
        <is>
          <t>Industrial</t>
        </is>
      </c>
      <c r="D44" s="33" t="n">
        <v>1</v>
      </c>
      <c r="E44" s="33" t="n">
        <v>19</v>
      </c>
      <c r="F44" s="35" t="n">
        <v>9.800000000000001</v>
      </c>
      <c r="G44" t="str">
        <f>IF(F44&lt;=20.0,"Yes","No")</f>
        <v>Yes</v>
      </c>
      <c r="H44" s="36" t="n">
        <v>0.73</v>
      </c>
      <c r="I44" t="inlineStr">
        <is>
          <t>No</t>
        </is>
      </c>
      <c r="J44" s="32" t="n">
        <v>46034</v>
      </c>
      <c r="K44" t="inlineStr">
        <is>
          <t>Source register complete; leak test scheduled.</t>
        </is>
      </c>
    </row>
    <row r="45">
      <c r="A45" t="inlineStr">
        <is>
          <t>Grand Bassa Community College - XRF Analyser</t>
        </is>
      </c>
      <c r="B45" t="inlineStr">
        <is>
          <t>Grand Bassa</t>
        </is>
      </c>
      <c r="C45" t="inlineStr">
        <is>
          <t>Environmental</t>
        </is>
      </c>
      <c r="D45" s="33" t="n">
        <v>2</v>
      </c>
      <c r="E45" s="33" t="n">
        <v>19</v>
      </c>
      <c r="F45" s="35" t="n">
        <v>5.6</v>
      </c>
      <c r="G45" t="str">
        <f>IF(F45&lt;=20.0,"Yes","No")</f>
        <v>Yes</v>
      </c>
      <c r="H45" s="36" t="n">
        <v>0.9</v>
      </c>
      <c r="I45" t="inlineStr">
        <is>
          <t>No</t>
        </is>
      </c>
      <c r="J45" s="32" t="n">
        <v>46240</v>
      </c>
      <c r="K45" t="inlineStr">
        <is>
          <t>Instrument calibration overdue - follow-up inspection scheduled.</t>
        </is>
      </c>
    </row>
  </sheetData>
  <mergeCells count="2">
    <mergeCell ref="A2:K2"/>
    <mergeCell ref="A1:K1"/>
  </mergeCells>
  <conditionalFormatting sqref="F4:F45">
    <cfRule type="cellIs" priority="1" operator="greaterThan" dxfId="0">
      <formula>20.0</formula>
    </cfRule>
  </conditionalFormatting>
  <conditionalFormatting sqref="G4:G45">
    <cfRule type="cellIs" priority="2" operator="equal" dxfId="0">
      <formula>"No"</formula>
    </cfRule>
  </conditionalFormatting>
  <conditionalFormatting sqref="H4:H45">
    <cfRule type="colorScale" priority="3">
      <colorScale>
        <cfvo type="num" val="0.6"/>
        <cfvo type="num" val="0.85"/>
        <cfvo type="num" val="1"/>
        <color rgb="00F4A79C"/>
        <color rgb="00FFE9B0"/>
        <color rgb="00D6EFD8"/>
      </colorScale>
    </cfRule>
  </conditionalFormatting>
  <conditionalFormatting sqref="I4:I45">
    <cfRule type="cellIs" priority="4" operator="equal" dxfId="2">
      <formula>"No"</formula>
    </cfRule>
  </conditionalFormatting>
  <dataValidations count="3">
    <dataValidation sqref="B4:B145" showDropDown="0" showInputMessage="0" showErrorMessage="0" allowBlank="1" type="list">
      <formula1>CountyList</formula1>
    </dataValidation>
    <dataValidation sqref="C4:C145" showDropDown="0" showInputMessage="0" showErrorMessage="0" allowBlank="1" type="list">
      <formula1>RadFacilityTypeList</formula1>
    </dataValidation>
    <dataValidation sqref="I4:I145" showDropDown="0" showInputMessage="0" showErrorMessage="0" allowBlank="1" type="list">
      <formula1>YesNoList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18" customWidth="1" min="1" max="1"/>
    <col width="24" customWidth="1" min="2" max="2"/>
    <col width="18" customWidth="1" min="3" max="3"/>
    <col width="24" customWidth="1" min="4" max="4"/>
    <col width="30" customWidth="1" min="5" max="5"/>
    <col width="26" customWidth="1" min="6" max="6"/>
    <col width="11" customWidth="1" min="7" max="7"/>
    <col width="22" customWidth="1" min="8" max="8"/>
    <col width="20" customWidth="1" min="9" max="9"/>
    <col width="21" customWidth="1" min="10" max="10"/>
    <col width="17" customWidth="1" min="11" max="11"/>
    <col width="9" customWidth="1" min="12" max="12"/>
  </cols>
  <sheetData>
    <row r="1" ht="26" customHeight="1">
      <c r="A1" s="29" t="inlineStr">
        <is>
          <t>Reference - Safety Limits and Controlled Lists</t>
        </is>
      </c>
    </row>
    <row r="2" ht="15" customHeight="1">
      <c r="A2" s="30" t="inlineStr">
        <is>
          <t>The thresholds applied in the Lab Results sheet, and the lists that feed every dropdown in this workbook.</t>
        </is>
      </c>
    </row>
    <row r="4">
      <c r="A4" s="37" t="inlineStr">
        <is>
          <t>Safety limits applied</t>
        </is>
      </c>
    </row>
    <row r="5">
      <c r="A5" s="38" t="inlineStr">
        <is>
          <t>Medium</t>
        </is>
      </c>
      <c r="B5" s="38" t="inlineStr">
        <is>
          <t>Parameter</t>
        </is>
      </c>
      <c r="C5" s="38" t="inlineStr">
        <is>
          <t>Unit</t>
        </is>
      </c>
      <c r="D5" s="38" t="inlineStr">
        <is>
          <t>Limit Min</t>
        </is>
      </c>
      <c r="E5" s="38" t="inlineStr">
        <is>
          <t>Limit Max</t>
        </is>
      </c>
      <c r="F5" s="38" t="inlineStr">
        <is>
          <t>Basis</t>
        </is>
      </c>
    </row>
    <row r="6">
      <c r="A6" t="inlineStr">
        <is>
          <t>Water</t>
        </is>
      </c>
      <c r="B6" t="inlineStr">
        <is>
          <t>Total Coliform</t>
        </is>
      </c>
      <c r="C6" t="inlineStr">
        <is>
          <t>CFU/100 mL</t>
        </is>
      </c>
      <c r="D6" t="n">
        <v>0</v>
      </c>
      <c r="E6" t="n">
        <v>0</v>
      </c>
      <c r="F6" s="39" t="inlineStr">
        <is>
          <t>WHO drinking-water guideline</t>
        </is>
      </c>
    </row>
    <row r="7">
      <c r="A7" t="inlineStr">
        <is>
          <t>Water</t>
        </is>
      </c>
      <c r="B7" t="inlineStr">
        <is>
          <t>E. coli</t>
        </is>
      </c>
      <c r="C7" t="inlineStr">
        <is>
          <t>CFU/100 mL</t>
        </is>
      </c>
      <c r="D7" t="n">
        <v>0</v>
      </c>
      <c r="E7" t="n">
        <v>0</v>
      </c>
      <c r="F7" s="39" t="inlineStr">
        <is>
          <t>WHO drinking-water guideline</t>
        </is>
      </c>
    </row>
    <row r="8">
      <c r="A8" t="inlineStr">
        <is>
          <t>Water</t>
        </is>
      </c>
      <c r="B8" t="inlineStr">
        <is>
          <t>Nitrate (as NO3)</t>
        </is>
      </c>
      <c r="C8" t="inlineStr">
        <is>
          <t>mg/L</t>
        </is>
      </c>
      <c r="D8" t="n">
        <v>0</v>
      </c>
      <c r="E8" t="n">
        <v>10</v>
      </c>
      <c r="F8" s="39" t="inlineStr">
        <is>
          <t>WHO drinking-water guideline</t>
        </is>
      </c>
    </row>
    <row r="9">
      <c r="A9" t="inlineStr">
        <is>
          <t>Water</t>
        </is>
      </c>
      <c r="B9" t="inlineStr">
        <is>
          <t>Arsenic</t>
        </is>
      </c>
      <c r="C9" t="inlineStr">
        <is>
          <t>mg/L</t>
        </is>
      </c>
      <c r="D9" t="n">
        <v>0</v>
      </c>
      <c r="E9" t="n">
        <v>0.01</v>
      </c>
      <c r="F9" s="39" t="inlineStr">
        <is>
          <t>WHO drinking-water guideline</t>
        </is>
      </c>
    </row>
    <row r="10">
      <c r="A10" t="inlineStr">
        <is>
          <t>Water</t>
        </is>
      </c>
      <c r="B10" t="inlineStr">
        <is>
          <t>Lead</t>
        </is>
      </c>
      <c r="C10" t="inlineStr">
        <is>
          <t>mg/L</t>
        </is>
      </c>
      <c r="D10" t="n">
        <v>0</v>
      </c>
      <c r="E10" t="n">
        <v>0.01</v>
      </c>
      <c r="F10" s="39" t="inlineStr">
        <is>
          <t>WHO drinking-water guideline</t>
        </is>
      </c>
    </row>
    <row r="11">
      <c r="A11" t="inlineStr">
        <is>
          <t>Water</t>
        </is>
      </c>
      <c r="B11" t="inlineStr">
        <is>
          <t>Manganese</t>
        </is>
      </c>
      <c r="C11" t="inlineStr">
        <is>
          <t>mg/L</t>
        </is>
      </c>
      <c r="D11" t="n">
        <v>0</v>
      </c>
      <c r="E11" t="n">
        <v>0.4</v>
      </c>
      <c r="F11" s="39" t="inlineStr">
        <is>
          <t>WHO drinking-water guideline</t>
        </is>
      </c>
    </row>
    <row r="12">
      <c r="A12" t="inlineStr">
        <is>
          <t>Water</t>
        </is>
      </c>
      <c r="B12" t="inlineStr">
        <is>
          <t>Iron</t>
        </is>
      </c>
      <c r="C12" t="inlineStr">
        <is>
          <t>mg/L</t>
        </is>
      </c>
      <c r="D12" t="n">
        <v>0</v>
      </c>
      <c r="E12" t="n">
        <v>0.3</v>
      </c>
      <c r="F12" s="39" t="inlineStr">
        <is>
          <t>WHO guideline (aesthetic)</t>
        </is>
      </c>
    </row>
    <row r="13">
      <c r="A13" t="inlineStr">
        <is>
          <t>Water</t>
        </is>
      </c>
      <c r="B13" t="inlineStr">
        <is>
          <t>Turbidity</t>
        </is>
      </c>
      <c r="C13" t="inlineStr">
        <is>
          <t>NTU</t>
        </is>
      </c>
      <c r="D13" t="n">
        <v>0</v>
      </c>
      <c r="E13" t="n">
        <v>5</v>
      </c>
      <c r="F13" s="39" t="inlineStr">
        <is>
          <t>WHO drinking-water guideline</t>
        </is>
      </c>
    </row>
    <row r="14">
      <c r="A14" t="inlineStr">
        <is>
          <t>Soil</t>
        </is>
      </c>
      <c r="B14" t="inlineStr">
        <is>
          <t>Lead</t>
        </is>
      </c>
      <c r="C14" t="inlineStr">
        <is>
          <t>mg/kg</t>
        </is>
      </c>
      <c r="D14" t="n">
        <v>0</v>
      </c>
      <c r="E14" t="n">
        <v>100</v>
      </c>
      <c r="F14" s="39" t="inlineStr">
        <is>
          <t>US EPA regional screening level (residential)</t>
        </is>
      </c>
    </row>
    <row r="15">
      <c r="A15" t="inlineStr">
        <is>
          <t>Soil</t>
        </is>
      </c>
      <c r="B15" t="inlineStr">
        <is>
          <t>Arsenic</t>
        </is>
      </c>
      <c r="C15" t="inlineStr">
        <is>
          <t>mg/kg</t>
        </is>
      </c>
      <c r="D15" t="n">
        <v>0</v>
      </c>
      <c r="E15" t="n">
        <v>20</v>
      </c>
      <c r="F15" s="39" t="inlineStr">
        <is>
          <t>US EPA regional screening level (residential)</t>
        </is>
      </c>
    </row>
    <row r="16">
      <c r="A16" t="inlineStr">
        <is>
          <t>Soil</t>
        </is>
      </c>
      <c r="B16" t="inlineStr">
        <is>
          <t>Mercury</t>
        </is>
      </c>
      <c r="C16" t="inlineStr">
        <is>
          <t>mg/kg</t>
        </is>
      </c>
      <c r="D16" t="n">
        <v>0</v>
      </c>
      <c r="E16" t="n">
        <v>1</v>
      </c>
      <c r="F16" s="39" t="inlineStr">
        <is>
          <t>US EPA regional screening level (residential)</t>
        </is>
      </c>
    </row>
    <row r="17">
      <c r="A17" t="inlineStr">
        <is>
          <t>Soil</t>
        </is>
      </c>
      <c r="B17" t="inlineStr">
        <is>
          <t>Cadmium</t>
        </is>
      </c>
      <c r="C17" t="inlineStr">
        <is>
          <t>mg/kg</t>
        </is>
      </c>
      <c r="D17" t="n">
        <v>0</v>
      </c>
      <c r="E17" t="n">
        <v>3</v>
      </c>
      <c r="F17" s="39" t="inlineStr">
        <is>
          <t>US EPA regional screening level (residential)</t>
        </is>
      </c>
    </row>
    <row r="18">
      <c r="A18" t="inlineStr">
        <is>
          <t>Air</t>
        </is>
      </c>
      <c r="B18" t="inlineStr">
        <is>
          <t>PM2.5</t>
        </is>
      </c>
      <c r="C18" t="inlineStr">
        <is>
          <t>ug/m3</t>
        </is>
      </c>
      <c r="D18" t="n">
        <v>0</v>
      </c>
      <c r="E18" t="n">
        <v>25</v>
      </c>
      <c r="F18" s="39" t="inlineStr">
        <is>
          <t>WHO 24-hour air quality guideline</t>
        </is>
      </c>
    </row>
    <row r="19">
      <c r="A19" t="inlineStr">
        <is>
          <t>Air</t>
        </is>
      </c>
      <c r="B19" t="inlineStr">
        <is>
          <t>PM10</t>
        </is>
      </c>
      <c r="C19" t="inlineStr">
        <is>
          <t>ug/m3</t>
        </is>
      </c>
      <c r="D19" t="n">
        <v>0</v>
      </c>
      <c r="E19" t="n">
        <v>50</v>
      </c>
      <c r="F19" s="39" t="inlineStr">
        <is>
          <t>WHO 24-hour air quality guideline</t>
        </is>
      </c>
    </row>
    <row r="20">
      <c r="A20" t="inlineStr">
        <is>
          <t>Air</t>
        </is>
      </c>
      <c r="B20" t="inlineStr">
        <is>
          <t>Nitrogen Dioxide (NO2)</t>
        </is>
      </c>
      <c r="C20" t="inlineStr">
        <is>
          <t>ug/m3</t>
        </is>
      </c>
      <c r="D20" t="n">
        <v>0</v>
      </c>
      <c r="E20" t="n">
        <v>40</v>
      </c>
      <c r="F20" s="39" t="inlineStr">
        <is>
          <t>WHO annual air quality guideline</t>
        </is>
      </c>
    </row>
    <row r="21">
      <c r="A21" t="inlineStr">
        <is>
          <t>Air</t>
        </is>
      </c>
      <c r="B21" t="inlineStr">
        <is>
          <t>Sulphur Dioxide (SO2)</t>
        </is>
      </c>
      <c r="C21" t="inlineStr">
        <is>
          <t>ug/m3</t>
        </is>
      </c>
      <c r="D21" t="n">
        <v>0</v>
      </c>
      <c r="E21" t="n">
        <v>125</v>
      </c>
      <c r="F21" s="39" t="inlineStr">
        <is>
          <t>WHO 24-hour air quality guideline</t>
        </is>
      </c>
    </row>
    <row r="22">
      <c r="A22" t="inlineStr">
        <is>
          <t>Ambient Radiation</t>
        </is>
      </c>
      <c r="B22" t="inlineStr">
        <is>
          <t>Gamma Dose Rate</t>
        </is>
      </c>
      <c r="C22" t="inlineStr">
        <is>
          <t>uSv/h</t>
        </is>
      </c>
      <c r="D22" t="n">
        <v>0</v>
      </c>
      <c r="E22" t="n">
        <v>0.3</v>
      </c>
      <c r="F22" s="39" t="inlineStr">
        <is>
          <t>IAEA reference level - public exposure</t>
        </is>
      </c>
    </row>
    <row r="24">
      <c r="A24" s="37" t="inlineStr">
        <is>
          <t>Controlled lists (these feed the dropdowns)</t>
        </is>
      </c>
    </row>
    <row r="25">
      <c r="A25" s="40" t="inlineStr">
        <is>
          <t>County</t>
        </is>
      </c>
      <c r="C25" s="40" t="inlineStr">
        <is>
          <t>Medium</t>
        </is>
      </c>
      <c r="D25" s="40" t="inlineStr">
        <is>
          <t>Parameter</t>
        </is>
      </c>
      <c r="E25" s="40" t="inlineStr">
        <is>
          <t>Complaint Type</t>
        </is>
      </c>
      <c r="F25" s="40" t="inlineStr">
        <is>
          <t>Complaint Status</t>
        </is>
      </c>
      <c r="G25" s="40" t="inlineStr">
        <is>
          <t>Severity</t>
        </is>
      </c>
      <c r="H25" s="40" t="inlineStr">
        <is>
          <t>Facility Type</t>
        </is>
      </c>
      <c r="I25" s="40" t="inlineStr">
        <is>
          <t>Radiation Facility Type</t>
        </is>
      </c>
      <c r="J25" s="40" t="inlineStr">
        <is>
          <t>Source Type</t>
        </is>
      </c>
      <c r="K25" s="40" t="inlineStr">
        <is>
          <t>Inspection Outcome</t>
        </is>
      </c>
      <c r="L25" s="40" t="inlineStr">
        <is>
          <t>Yes / No</t>
        </is>
      </c>
    </row>
    <row r="26">
      <c r="A26" t="inlineStr">
        <is>
          <t>Montserrado</t>
        </is>
      </c>
      <c r="C26" t="inlineStr">
        <is>
          <t>Water</t>
        </is>
      </c>
      <c r="D26" t="inlineStr">
        <is>
          <t>Total Coliform</t>
        </is>
      </c>
      <c r="E26" t="inlineStr">
        <is>
          <t>Drinking Water Contamination</t>
        </is>
      </c>
      <c r="F26" t="inlineStr">
        <is>
          <t>Received</t>
        </is>
      </c>
      <c r="G26" t="inlineStr">
        <is>
          <t>Low</t>
        </is>
      </c>
      <c r="H26" t="inlineStr">
        <is>
          <t>Hospital / Clinic</t>
        </is>
      </c>
      <c r="I26" t="inlineStr">
        <is>
          <t>Medical</t>
        </is>
      </c>
      <c r="J26" t="inlineStr">
        <is>
          <t>Community Borehole</t>
        </is>
      </c>
      <c r="K26" t="inlineStr">
        <is>
          <t>Compliant</t>
        </is>
      </c>
      <c r="L26" t="inlineStr">
        <is>
          <t>Yes</t>
        </is>
      </c>
    </row>
    <row r="27">
      <c r="A27" t="inlineStr">
        <is>
          <t>Nimba</t>
        </is>
      </c>
      <c r="C27" t="inlineStr">
        <is>
          <t>Soil</t>
        </is>
      </c>
      <c r="D27" t="inlineStr">
        <is>
          <t>E. coli</t>
        </is>
      </c>
      <c r="E27" t="inlineStr">
        <is>
          <t>Air Quality / Smoke &amp; Dust</t>
        </is>
      </c>
      <c r="F27" t="inlineStr">
        <is>
          <t>Investigating</t>
        </is>
      </c>
      <c r="G27" t="inlineStr">
        <is>
          <t>Medium</t>
        </is>
      </c>
      <c r="H27" t="inlineStr">
        <is>
          <t>Industrial Plant</t>
        </is>
      </c>
      <c r="I27" t="inlineStr">
        <is>
          <t>Industrial</t>
        </is>
      </c>
      <c r="J27" t="inlineStr">
        <is>
          <t>Hand-Dug Well</t>
        </is>
      </c>
      <c r="K27" t="inlineStr">
        <is>
          <t>Non-Compliant</t>
        </is>
      </c>
      <c r="L27" t="inlineStr">
        <is>
          <t>No</t>
        </is>
      </c>
    </row>
    <row r="28">
      <c r="A28" t="inlineStr">
        <is>
          <t>Bong</t>
        </is>
      </c>
      <c r="C28" t="inlineStr">
        <is>
          <t>Air</t>
        </is>
      </c>
      <c r="D28" t="inlineStr">
        <is>
          <t>Nitrate (as NO3)</t>
        </is>
      </c>
      <c r="E28" t="inlineStr">
        <is>
          <t>Sanitation</t>
        </is>
      </c>
      <c r="F28" t="inlineStr">
        <is>
          <t>Findings Presented</t>
        </is>
      </c>
      <c r="G28" t="inlineStr">
        <is>
          <t>High</t>
        </is>
      </c>
      <c r="H28" t="inlineStr">
        <is>
          <t>Water Treatment / Supply</t>
        </is>
      </c>
      <c r="I28" t="inlineStr">
        <is>
          <t>Environmental</t>
        </is>
      </c>
      <c r="J28" t="inlineStr">
        <is>
          <t>River / Stream Intake</t>
        </is>
      </c>
      <c r="K28" t="inlineStr">
        <is>
          <t>Pending Review</t>
        </is>
      </c>
    </row>
    <row r="29">
      <c r="A29" t="inlineStr">
        <is>
          <t>Grand Bassa</t>
        </is>
      </c>
      <c r="C29" t="inlineStr">
        <is>
          <t>Ambient Radiation</t>
        </is>
      </c>
      <c r="D29" t="inlineStr">
        <is>
          <t>Arsenic</t>
        </is>
      </c>
      <c r="E29" t="inlineStr">
        <is>
          <t>Waste Dumping</t>
        </is>
      </c>
      <c r="F29" t="inlineStr">
        <is>
          <t>Closed</t>
        </is>
      </c>
      <c r="G29" t="inlineStr">
        <is>
          <t>Critical</t>
        </is>
      </c>
      <c r="H29" t="inlineStr">
        <is>
          <t>School</t>
        </is>
      </c>
      <c r="J29" t="inlineStr">
        <is>
          <t>Public Tap Stand</t>
        </is>
      </c>
    </row>
    <row r="30">
      <c r="A30" t="inlineStr">
        <is>
          <t>Margibi</t>
        </is>
      </c>
      <c r="D30" t="inlineStr">
        <is>
          <t>Lead</t>
        </is>
      </c>
      <c r="E30" t="inlineStr">
        <is>
          <t>Noise</t>
        </is>
      </c>
      <c r="H30" t="inlineStr">
        <is>
          <t>Mining Site</t>
        </is>
      </c>
      <c r="J30" t="inlineStr">
        <is>
          <t>Health Facility Supply</t>
        </is>
      </c>
    </row>
    <row r="31">
      <c r="A31" t="inlineStr">
        <is>
          <t>Lofa</t>
        </is>
      </c>
      <c r="D31" t="inlineStr">
        <is>
          <t>Manganese</t>
        </is>
      </c>
      <c r="E31" t="inlineStr">
        <is>
          <t>Chemical Exposure</t>
        </is>
      </c>
      <c r="H31" t="inlineStr">
        <is>
          <t>Waste Facility</t>
        </is>
      </c>
      <c r="J31" t="inlineStr">
        <is>
          <t>School Water Point</t>
        </is>
      </c>
    </row>
    <row r="32">
      <c r="A32" t="inlineStr">
        <is>
          <t>Grand Cape Mount</t>
        </is>
      </c>
      <c r="D32" t="inlineStr">
        <is>
          <t>Iron</t>
        </is>
      </c>
      <c r="J32" t="inlineStr">
        <is>
          <t>Farmland</t>
        </is>
      </c>
    </row>
    <row r="33">
      <c r="A33" t="inlineStr">
        <is>
          <t>Sinoe</t>
        </is>
      </c>
      <c r="D33" t="inlineStr">
        <is>
          <t>Turbidity</t>
        </is>
      </c>
      <c r="J33" t="inlineStr">
        <is>
          <t>School Grounds</t>
        </is>
      </c>
    </row>
    <row r="34">
      <c r="A34" t="inlineStr">
        <is>
          <t>Grand Gedeh</t>
        </is>
      </c>
      <c r="D34" t="inlineStr">
        <is>
          <t>Lead</t>
        </is>
      </c>
      <c r="J34" t="inlineStr">
        <is>
          <t>Playground</t>
        </is>
      </c>
    </row>
    <row r="35">
      <c r="A35" t="inlineStr">
        <is>
          <t>Bomi</t>
        </is>
      </c>
      <c r="D35" t="inlineStr">
        <is>
          <t>Arsenic</t>
        </is>
      </c>
      <c r="J35" t="inlineStr">
        <is>
          <t>Dumpsite Perimeter</t>
        </is>
      </c>
    </row>
    <row r="36">
      <c r="A36" t="inlineStr">
        <is>
          <t>Maryland</t>
        </is>
      </c>
      <c r="D36" t="inlineStr">
        <is>
          <t>Mercury</t>
        </is>
      </c>
      <c r="J36" t="inlineStr">
        <is>
          <t>Industrial Site</t>
        </is>
      </c>
    </row>
    <row r="37">
      <c r="A37" t="inlineStr">
        <is>
          <t>Gbarpolu</t>
        </is>
      </c>
      <c r="D37" t="inlineStr">
        <is>
          <t>Cadmium</t>
        </is>
      </c>
      <c r="J37" t="inlineStr">
        <is>
          <t>Urban Roadside</t>
        </is>
      </c>
    </row>
    <row r="38">
      <c r="D38" t="inlineStr">
        <is>
          <t>PM2.5</t>
        </is>
      </c>
      <c r="J38" t="inlineStr">
        <is>
          <t>Industrial Perimeter</t>
        </is>
      </c>
    </row>
    <row r="39">
      <c r="D39" t="inlineStr">
        <is>
          <t>PM10</t>
        </is>
      </c>
      <c r="J39" t="inlineStr">
        <is>
          <t>Residential Area</t>
        </is>
      </c>
    </row>
    <row r="40">
      <c r="D40" t="inlineStr">
        <is>
          <t>Nitrogen Dioxide (NO2)</t>
        </is>
      </c>
      <c r="J40" t="inlineStr">
        <is>
          <t>Dumpsite Perimeter</t>
        </is>
      </c>
    </row>
    <row r="41">
      <c r="D41" t="inlineStr">
        <is>
          <t>Sulphur Dioxide (SO2)</t>
        </is>
      </c>
      <c r="J41" t="inlineStr">
        <is>
          <t>Market Area</t>
        </is>
      </c>
    </row>
    <row r="42">
      <c r="D42" t="inlineStr">
        <is>
          <t>Gamma Dose Rate</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2" ht="30" customHeight="1">
      <c r="B2" s="29" t="inlineStr">
        <is>
          <t>ERRS Environmental &amp; Public Health Dashboard - how to use this workbook</t>
        </is>
      </c>
    </row>
    <row r="4" ht="18" customHeight="1">
      <c r="B4" s="41" t="inlineStr">
        <is>
          <t>What this is</t>
        </is>
      </c>
    </row>
    <row r="5" ht="14" customHeight="1">
      <c r="B5" s="42" t="inlineStr">
        <is>
          <t>A one-page health picture for the department: what the environment is doing to people, and what the department is doing about it. It brings together the four health-relevant streams ERRS already records - laboratory results measured against safety limits, environmental health complaints and the illness cases behind them, facility inspections, and radiation worker protection.</t>
        </is>
      </c>
    </row>
    <row r="7" ht="18" customHeight="1">
      <c r="B7" s="41" t="inlineStr">
        <is>
          <t>The sheets</t>
        </is>
      </c>
    </row>
    <row r="8" ht="30" customHeight="1">
      <c r="B8" s="43" t="inlineStr">
        <is>
          <t>Dashboard</t>
        </is>
      </c>
      <c r="C8" s="42" t="inlineStr">
        <is>
          <t>The one-page view. Twelve KPI cards, eight charts. Every figure is a live formula - nothing is typed in by hand.</t>
        </is>
      </c>
    </row>
    <row r="9" ht="30" customHeight="1">
      <c r="B9" s="43" t="inlineStr">
        <is>
          <t>Lab Results</t>
        </is>
      </c>
      <c r="C9" s="42" t="inlineStr">
        <is>
          <t>One row per sample: water, soil, air and ambient radiation readings against the applicable limit. The Within Limit and Exceedance Ratio columns calculate themselves.</t>
        </is>
      </c>
    </row>
    <row r="10" ht="30" customHeight="1">
      <c r="B10" s="43" t="inlineStr">
        <is>
          <t>Health Complaints</t>
        </is>
      </c>
      <c r="C10" s="42" t="inlineStr">
        <is>
          <t>One row per complaint, including how many illness cases were reported and how long the complaint took to close.</t>
        </is>
      </c>
    </row>
    <row r="11" ht="30" customHeight="1">
      <c r="B11" s="43" t="inlineStr">
        <is>
          <t>Facility Inspections</t>
        </is>
      </c>
      <c r="C11" s="42" t="inlineStr">
        <is>
          <t>One row per inspection, with a 1-10 health risk score and whether the follow-up was completed.</t>
        </is>
      </c>
    </row>
    <row r="12" ht="30" customHeight="1">
      <c r="B12" s="43" t="inlineStr">
        <is>
          <t>Radiation Safety</t>
        </is>
      </c>
      <c r="C12" s="42" t="inlineStr">
        <is>
          <t>One row per licensed facility: sources inventoried, workers monitored, annual dose against the 20 mSv limit, PPE compliance and instrument calibration status.</t>
        </is>
      </c>
    </row>
    <row r="13" ht="30" customHeight="1">
      <c r="B13" s="43" t="inlineStr">
        <is>
          <t>Reference</t>
        </is>
      </c>
      <c r="C13" s="42" t="inlineStr">
        <is>
          <t>The safety limits applied to each parameter, and the controlled lists behind every dropdown.</t>
        </is>
      </c>
    </row>
    <row r="14" ht="30" customHeight="1">
      <c r="B14" s="43" t="inlineStr">
        <is>
          <t>CalcData</t>
        </is>
      </c>
      <c r="C14" s="42" t="inlineStr">
        <is>
          <t>The engine: the aggregates the KPI cards and charts read from. Leave it alone unless you are changing the dashboard itself.</t>
        </is>
      </c>
    </row>
    <row r="16" ht="18" customHeight="1">
      <c r="B16" s="41" t="inlineStr">
        <is>
          <t>How to put real data in</t>
        </is>
      </c>
    </row>
    <row r="17" ht="14" customHeight="1">
      <c r="B17" s="42" t="inlineStr">
        <is>
          <t>1.  Keep the column headings and the layout exactly as they are - the dashboard aggregates by column, not by position on the row.</t>
        </is>
      </c>
    </row>
    <row r="18" ht="14" customHeight="1">
      <c r="B18" s="42" t="inlineStr">
        <is>
          <t>2.  Type new records on the next empty row of each sheet, or paste them in. The tables, dropdowns, conditional colours and every chart extend automatically.</t>
        </is>
      </c>
    </row>
    <row r="19" ht="14" customHeight="1">
      <c r="B19" s="42" t="inlineStr">
        <is>
          <t>3.  Delete the sample rows when real records replace them, and delete any rows you do not need - the formulas count whatever is actually there.</t>
        </is>
      </c>
    </row>
    <row r="20" ht="14" customHeight="1">
      <c r="B20" s="42" t="inlineStr">
        <is>
          <t>4.  The Month, Within Limit, Exceedance Ratio, Days to Resolve and Within 20 mSv Limit columns all hold formulas, not values - hover the column heading for a note saying what each one does. If you overwrite one by accident, copy it down from the row above to bring it back.</t>
        </is>
      </c>
    </row>
    <row r="21" ht="14" customHeight="1">
      <c r="B21" s="42" t="inlineStr">
        <is>
          <t>5.  The dashboard recalculates the moment the data changes. If a figure looks stale, press F9.</t>
        </is>
      </c>
    </row>
    <row r="23" ht="18" customHeight="1">
      <c r="B23" s="41" t="inlineStr">
        <is>
          <t>A note on the data in this copy</t>
        </is>
      </c>
    </row>
    <row r="24" ht="14" customHeight="1">
      <c r="B24" s="42" t="inlineStr">
        <is>
          <t>The rows in this workbook are realistic sample data, not real records: they are generated to show what the dashboard looks like when it is working, and they are shaped around Liberia's rainy and dry seasons so the trends behave believably. Replace them with the department's own entries before any of this is used for a decision or shown outside the team.</t>
        </is>
      </c>
    </row>
    <row r="25" ht="14" customHeight="1">
      <c r="B25" s="42" t="inlineStr">
        <is>
          <t>The limits in the Reference sheet are the widely used WHO guideline values, US EPA regional screening levels (for soil) and an IAEA reference level (for ambient dose rate). They are a sensible default, not a legal position - have the department confirm each threshold against Liberia's own national standards before publishing this anywhere.</t>
        </is>
      </c>
    </row>
    <row r="27" ht="18" customHeight="1">
      <c r="B27" s="41" t="inlineStr">
        <is>
          <t>Regenerating or extending it</t>
        </is>
      </c>
    </row>
    <row r="28" ht="14" customHeight="1">
      <c r="B28" s="42" t="inlineStr">
        <is>
          <t>This workbook is built by scripts/build_health_dashboard.py in the ERRS Manager repository (npm run health-dashboard). Editing that script and re-running it rebuilds the whole workbook from scratch - useful if the department wants different parameters, different limits, or another breakdown added.</t>
        </is>
      </c>
    </row>
  </sheetData>
  <mergeCells count="15">
    <mergeCell ref="B21:C21"/>
    <mergeCell ref="B16:C16"/>
    <mergeCell ref="B2:C2"/>
    <mergeCell ref="B24:C24"/>
    <mergeCell ref="B7:C7"/>
    <mergeCell ref="B25:C25"/>
    <mergeCell ref="B5:C5"/>
    <mergeCell ref="B19:C19"/>
    <mergeCell ref="B20:C20"/>
    <mergeCell ref="B27:C27"/>
    <mergeCell ref="B28:C28"/>
    <mergeCell ref="B23:C23"/>
    <mergeCell ref="B17:C17"/>
    <mergeCell ref="B18:C18"/>
    <mergeCell ref="B4:C4"/>
  </mergeCells>
  <pageMargins left="0.75" right="0.75" top="1" bottom="1" header="0.5" footer="0.5"/>
</worksheet>
</file>

<file path=xl/worksheets/sheet8.xml><?xml version="1.0" encoding="utf-8"?>
<worksheet xmlns="http://schemas.openxmlformats.org/spreadsheetml/2006/main">
  <sheetPr>
    <tabColor rgb="006B7A80"/>
    <outlinePr summaryBelow="1" summaryRight="1"/>
    <pageSetUpPr/>
  </sheetPr>
  <dimension ref="A1:H107"/>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5" customWidth="1" min="5" max="5"/>
    <col width="15" customWidth="1" min="6" max="6"/>
    <col width="15" customWidth="1" min="7" max="7"/>
    <col width="15" customWidth="1" min="8" max="8"/>
  </cols>
  <sheetData>
    <row r="1" ht="26" customHeight="1">
      <c r="A1" s="29" t="inlineStr">
        <is>
          <t>CalcData - the engine behind the Dashboard</t>
        </is>
      </c>
    </row>
    <row r="2" ht="15" customHeight="1">
      <c r="A2" s="30" t="inlineStr">
        <is>
          <t>Every KPI card and chart reads from this sheet. Each cell is a live formula over the data sheets - add rows and these follow automatically.</t>
        </is>
      </c>
    </row>
    <row r="4">
      <c r="A4" s="40" t="inlineStr">
        <is>
          <t>1. Monthly trend</t>
        </is>
      </c>
    </row>
    <row r="5" ht="26" customHeight="1">
      <c r="A5" s="44" t="inlineStr">
        <is>
          <t>Month</t>
        </is>
      </c>
      <c r="B5" s="44" t="inlineStr">
        <is>
          <t>Month #</t>
        </is>
      </c>
      <c r="C5" s="44" t="inlineStr">
        <is>
          <t>Samples Tested</t>
        </is>
      </c>
      <c r="D5" s="44" t="inlineStr">
        <is>
          <t>Within Limits</t>
        </is>
      </c>
      <c r="E5" s="44" t="inlineStr">
        <is>
          <t>Exceedances</t>
        </is>
      </c>
      <c r="F5" s="44" t="inlineStr">
        <is>
          <t>Exceedance Rate</t>
        </is>
      </c>
      <c r="G5" s="44" t="inlineStr">
        <is>
          <t>Complaints</t>
        </is>
      </c>
      <c r="H5" s="44" t="inlineStr">
        <is>
          <t>Illness Cases</t>
        </is>
      </c>
    </row>
    <row r="6">
      <c r="A6" t="inlineStr">
        <is>
          <t>Jan 2026</t>
        </is>
      </c>
      <c r="B6" s="33" t="n">
        <v>1</v>
      </c>
      <c r="C6" s="33">
        <f>COUNTIFS('Lab Results'!$C$4:$C$839,$B6)</f>
        <v>65</v>
      </c>
      <c r="D6" s="33">
        <f>COUNTIFS('Lab Results'!$C$4:$C$839,$B6,'Lab Results'!$M$4:$M$839,"Yes")</f>
        <v>54</v>
      </c>
      <c r="E6" s="33">
        <f>COUNTIFS('Lab Results'!$C$4:$C$839,$B6,'Lab Results'!$M$4:$M$839,"No")</f>
        <v>11</v>
      </c>
      <c r="F6" s="45">
        <f>IFERROR($E6/$C6,0)</f>
        <v>0.1692307692</v>
      </c>
      <c r="G6" s="33">
        <f>COUNTIFS('Health Complaints'!$C$4:$C$408,$B6)</f>
        <v>14</v>
      </c>
      <c r="H6" s="33">
        <f>SUMIFS('Health Complaints'!$H$4:$H$408,'Health Complaints'!$C$4:$C$408,$B6)</f>
        <v>123</v>
      </c>
    </row>
    <row r="7">
      <c r="A7" t="inlineStr">
        <is>
          <t>Feb 2026</t>
        </is>
      </c>
      <c r="B7" s="33" t="n">
        <v>2</v>
      </c>
      <c r="C7" s="33">
        <f>COUNTIFS('Lab Results'!$C$4:$C$839,$B7)</f>
        <v>64</v>
      </c>
      <c r="D7" s="33">
        <f>COUNTIFS('Lab Results'!$C$4:$C$839,$B7,'Lab Results'!$M$4:$M$839,"Yes")</f>
        <v>54</v>
      </c>
      <c r="E7" s="33">
        <f>COUNTIFS('Lab Results'!$C$4:$C$839,$B7,'Lab Results'!$M$4:$M$839,"No")</f>
        <v>10</v>
      </c>
      <c r="F7" s="45">
        <f>IFERROR($E7/$C7,0)</f>
        <v>0.15625</v>
      </c>
      <c r="G7" s="33">
        <f>COUNTIFS('Health Complaints'!$C$4:$C$408,$B7)</f>
        <v>15</v>
      </c>
      <c r="H7" s="33">
        <f>SUMIFS('Health Complaints'!$H$4:$H$408,'Health Complaints'!$C$4:$C$408,$B7)</f>
        <v>189</v>
      </c>
    </row>
    <row r="8">
      <c r="A8" t="inlineStr">
        <is>
          <t>Mar 2026</t>
        </is>
      </c>
      <c r="B8" s="33" t="n">
        <v>3</v>
      </c>
      <c r="C8" s="33">
        <f>COUNTIFS('Lab Results'!$C$4:$C$839,$B8)</f>
        <v>68</v>
      </c>
      <c r="D8" s="33">
        <f>COUNTIFS('Lab Results'!$C$4:$C$839,$B8,'Lab Results'!$M$4:$M$839,"Yes")</f>
        <v>59</v>
      </c>
      <c r="E8" s="33">
        <f>COUNTIFS('Lab Results'!$C$4:$C$839,$B8,'Lab Results'!$M$4:$M$839,"No")</f>
        <v>9</v>
      </c>
      <c r="F8" s="45">
        <f>IFERROR($E8/$C8,0)</f>
        <v>0.1323529412</v>
      </c>
      <c r="G8" s="33">
        <f>COUNTIFS('Health Complaints'!$C$4:$C$408,$B8)</f>
        <v>13</v>
      </c>
      <c r="H8" s="33">
        <f>SUMIFS('Health Complaints'!$H$4:$H$408,'Health Complaints'!$C$4:$C$408,$B8)</f>
        <v>137</v>
      </c>
    </row>
    <row r="9">
      <c r="A9" t="inlineStr">
        <is>
          <t>Apr 2026</t>
        </is>
      </c>
      <c r="B9" s="33" t="n">
        <v>4</v>
      </c>
      <c r="C9" s="33">
        <f>COUNTIFS('Lab Results'!$C$4:$C$839,$B9)</f>
        <v>66</v>
      </c>
      <c r="D9" s="33">
        <f>COUNTIFS('Lab Results'!$C$4:$C$839,$B9,'Lab Results'!$M$4:$M$839,"Yes")</f>
        <v>56</v>
      </c>
      <c r="E9" s="33">
        <f>COUNTIFS('Lab Results'!$C$4:$C$839,$B9,'Lab Results'!$M$4:$M$839,"No")</f>
        <v>10</v>
      </c>
      <c r="F9" s="45">
        <f>IFERROR($E9/$C9,0)</f>
        <v>0.1515151515</v>
      </c>
      <c r="G9" s="33">
        <f>COUNTIFS('Health Complaints'!$C$4:$C$408,$B9)</f>
        <v>10</v>
      </c>
      <c r="H9" s="33">
        <f>SUMIFS('Health Complaints'!$H$4:$H$408,'Health Complaints'!$C$4:$C$408,$B9)</f>
        <v>119</v>
      </c>
    </row>
    <row r="10">
      <c r="A10" t="inlineStr">
        <is>
          <t>May 2026</t>
        </is>
      </c>
      <c r="B10" s="33" t="n">
        <v>5</v>
      </c>
      <c r="C10" s="33">
        <f>COUNTIFS('Lab Results'!$C$4:$C$839,$B10)</f>
        <v>71</v>
      </c>
      <c r="D10" s="33">
        <f>COUNTIFS('Lab Results'!$C$4:$C$839,$B10,'Lab Results'!$M$4:$M$839,"Yes")</f>
        <v>62</v>
      </c>
      <c r="E10" s="33">
        <f>COUNTIFS('Lab Results'!$C$4:$C$839,$B10,'Lab Results'!$M$4:$M$839,"No")</f>
        <v>9</v>
      </c>
      <c r="F10" s="45">
        <f>IFERROR($E10/$C10,0)</f>
        <v>0.1267605634</v>
      </c>
      <c r="G10" s="33">
        <f>COUNTIFS('Health Complaints'!$C$4:$C$408,$B10)</f>
        <v>15</v>
      </c>
      <c r="H10" s="33">
        <f>SUMIFS('Health Complaints'!$H$4:$H$408,'Health Complaints'!$C$4:$C$408,$B10)</f>
        <v>141</v>
      </c>
    </row>
    <row r="11">
      <c r="A11" t="inlineStr">
        <is>
          <t>Jun 2026</t>
        </is>
      </c>
      <c r="B11" s="33" t="n">
        <v>6</v>
      </c>
      <c r="C11" s="33">
        <f>COUNTIFS('Lab Results'!$C$4:$C$839,$B11)</f>
        <v>69</v>
      </c>
      <c r="D11" s="33">
        <f>COUNTIFS('Lab Results'!$C$4:$C$839,$B11,'Lab Results'!$M$4:$M$839,"Yes")</f>
        <v>49</v>
      </c>
      <c r="E11" s="33">
        <f>COUNTIFS('Lab Results'!$C$4:$C$839,$B11,'Lab Results'!$M$4:$M$839,"No")</f>
        <v>20</v>
      </c>
      <c r="F11" s="45">
        <f>IFERROR($E11/$C11,0)</f>
        <v>0.2898550725</v>
      </c>
      <c r="G11" s="33">
        <f>COUNTIFS('Health Complaints'!$C$4:$C$408,$B11)</f>
        <v>12</v>
      </c>
      <c r="H11" s="33">
        <f>SUMIFS('Health Complaints'!$H$4:$H$408,'Health Complaints'!$C$4:$C$408,$B11)</f>
        <v>127</v>
      </c>
    </row>
    <row r="12">
      <c r="A12" t="inlineStr">
        <is>
          <t>Jul 2026</t>
        </is>
      </c>
      <c r="B12" s="33" t="n">
        <v>7</v>
      </c>
      <c r="C12" s="33">
        <f>COUNTIFS('Lab Results'!$C$4:$C$839,$B12)</f>
        <v>66</v>
      </c>
      <c r="D12" s="33">
        <f>COUNTIFS('Lab Results'!$C$4:$C$839,$B12,'Lab Results'!$M$4:$M$839,"Yes")</f>
        <v>45</v>
      </c>
      <c r="E12" s="33">
        <f>COUNTIFS('Lab Results'!$C$4:$C$839,$B12,'Lab Results'!$M$4:$M$839,"No")</f>
        <v>21</v>
      </c>
      <c r="F12" s="45">
        <f>IFERROR($E12/$C12,0)</f>
        <v>0.3181818182</v>
      </c>
      <c r="G12" s="33">
        <f>COUNTIFS('Health Complaints'!$C$4:$C$408,$B12)</f>
        <v>14</v>
      </c>
      <c r="H12" s="33">
        <f>SUMIFS('Health Complaints'!$H$4:$H$408,'Health Complaints'!$C$4:$C$408,$B12)</f>
        <v>283</v>
      </c>
    </row>
    <row r="13">
      <c r="A13" t="inlineStr">
        <is>
          <t>Aug 2026</t>
        </is>
      </c>
      <c r="B13" s="33" t="n">
        <v>8</v>
      </c>
      <c r="C13" s="33">
        <f>COUNTIFS('Lab Results'!$C$4:$C$839,$B13)</f>
        <v>67</v>
      </c>
      <c r="D13" s="33">
        <f>COUNTIFS('Lab Results'!$C$4:$C$839,$B13,'Lab Results'!$M$4:$M$839,"Yes")</f>
        <v>53</v>
      </c>
      <c r="E13" s="33">
        <f>COUNTIFS('Lab Results'!$C$4:$C$839,$B13,'Lab Results'!$M$4:$M$839,"No")</f>
        <v>14</v>
      </c>
      <c r="F13" s="45">
        <f>IFERROR($E13/$C13,0)</f>
        <v>0.2089552239</v>
      </c>
      <c r="G13" s="33">
        <f>COUNTIFS('Health Complaints'!$C$4:$C$408,$B13)</f>
        <v>12</v>
      </c>
      <c r="H13" s="33">
        <f>SUMIFS('Health Complaints'!$H$4:$H$408,'Health Complaints'!$C$4:$C$408,$B13)</f>
        <v>42</v>
      </c>
    </row>
    <row r="14">
      <c r="A14" s="46" t="inlineStr">
        <is>
          <t>2026 to date (Jan-Aug)</t>
        </is>
      </c>
      <c r="C14" s="33">
        <f>SUM(C6:C13)</f>
        <v>536</v>
      </c>
      <c r="D14" s="33">
        <f>SUM(D6:D13)</f>
        <v>432</v>
      </c>
      <c r="E14" s="33">
        <f>SUM(E6:E13)</f>
        <v>104</v>
      </c>
      <c r="F14" s="45">
        <f>IFERROR($E14/$C14,0)</f>
        <v>0.1940298507</v>
      </c>
      <c r="G14" s="33">
        <f>SUM(G6:G13)</f>
        <v>105</v>
      </c>
      <c r="H14" s="33">
        <f>SUM(H6:H13)</f>
        <v>1161</v>
      </c>
    </row>
    <row r="16">
      <c r="A16" s="40" t="inlineStr">
        <is>
          <t>2. By medium</t>
        </is>
      </c>
    </row>
    <row r="17" ht="26" customHeight="1">
      <c r="A17" s="44" t="inlineStr">
        <is>
          <t>Medium</t>
        </is>
      </c>
      <c r="B17" s="44" t="inlineStr">
        <is>
          <t>Samples</t>
        </is>
      </c>
      <c r="C17" s="44" t="inlineStr">
        <is>
          <t>Within Limits</t>
        </is>
      </c>
      <c r="D17" s="44" t="inlineStr">
        <is>
          <t>Exceedances</t>
        </is>
      </c>
      <c r="E17" s="44" t="inlineStr">
        <is>
          <t>% Within Limits</t>
        </is>
      </c>
    </row>
    <row r="18">
      <c r="A18" t="inlineStr">
        <is>
          <t>Water</t>
        </is>
      </c>
      <c r="B18" s="33">
        <f>COUNTIFS('Lab Results'!$G$4:$G$839,$A18)</f>
        <v>282</v>
      </c>
      <c r="C18" s="33">
        <f>COUNTIFS('Lab Results'!$G$4:$G$839,$A18,'Lab Results'!$M$4:$M$839,"Yes")</f>
        <v>228</v>
      </c>
      <c r="D18" s="33">
        <f>$B18-$C18</f>
        <v>54</v>
      </c>
      <c r="E18" s="45">
        <f>IFERROR($C18/$B18,0)</f>
        <v>0.8085106383</v>
      </c>
    </row>
    <row r="19">
      <c r="A19" t="inlineStr">
        <is>
          <t>Soil</t>
        </is>
      </c>
      <c r="B19" s="33">
        <f>COUNTIFS('Lab Results'!$G$4:$G$839,$A19)</f>
        <v>81</v>
      </c>
      <c r="C19" s="33">
        <f>COUNTIFS('Lab Results'!$G$4:$G$839,$A19,'Lab Results'!$M$4:$M$839,"Yes")</f>
        <v>60</v>
      </c>
      <c r="D19" s="33">
        <f>$B19-$C19</f>
        <v>21</v>
      </c>
      <c r="E19" s="45">
        <f>IFERROR($C19/$B19,0)</f>
        <v>0.7407407407</v>
      </c>
    </row>
    <row r="20">
      <c r="A20" t="inlineStr">
        <is>
          <t>Air</t>
        </is>
      </c>
      <c r="B20" s="33">
        <f>COUNTIFS('Lab Results'!$G$4:$G$839,$A20)</f>
        <v>127</v>
      </c>
      <c r="C20" s="33">
        <f>COUNTIFS('Lab Results'!$G$4:$G$839,$A20,'Lab Results'!$M$4:$M$839,"Yes")</f>
        <v>100</v>
      </c>
      <c r="D20" s="33">
        <f>$B20-$C20</f>
        <v>27</v>
      </c>
      <c r="E20" s="45">
        <f>IFERROR($C20/$B20,0)</f>
        <v>0.7874015748</v>
      </c>
    </row>
    <row r="21">
      <c r="A21" t="inlineStr">
        <is>
          <t>Ambient Radiation</t>
        </is>
      </c>
      <c r="B21" s="33">
        <f>COUNTIFS('Lab Results'!$G$4:$G$839,$A21)</f>
        <v>46</v>
      </c>
      <c r="C21" s="33">
        <f>COUNTIFS('Lab Results'!$G$4:$G$839,$A21,'Lab Results'!$M$4:$M$839,"Yes")</f>
        <v>44</v>
      </c>
      <c r="D21" s="33">
        <f>$B21-$C21</f>
        <v>2</v>
      </c>
      <c r="E21" s="45">
        <f>IFERROR($C21/$B21,0)</f>
        <v>0.9565217391</v>
      </c>
    </row>
    <row r="23">
      <c r="A23" s="40" t="inlineStr">
        <is>
          <t>3. Parameters ranked by exceedances</t>
        </is>
      </c>
    </row>
    <row r="24" ht="26" customHeight="1">
      <c r="A24" s="44" t="inlineStr">
        <is>
          <t>Parameter</t>
        </is>
      </c>
      <c r="B24" s="44" t="inlineStr">
        <is>
          <t>Medium</t>
        </is>
      </c>
      <c r="C24" s="44" t="inlineStr">
        <is>
          <t>Samples</t>
        </is>
      </c>
      <c r="D24" s="44" t="inlineStr">
        <is>
          <t>Exceedances</t>
        </is>
      </c>
      <c r="E24" s="44" t="inlineStr">
        <is>
          <t>Exceedance Rate</t>
        </is>
      </c>
      <c r="F24" s="44" t="inlineStr">
        <is>
          <t>Avg Result / Limit</t>
        </is>
      </c>
    </row>
    <row r="25">
      <c r="A25" t="inlineStr">
        <is>
          <t>Total Coliform</t>
        </is>
      </c>
      <c r="B25" t="inlineStr">
        <is>
          <t>Water</t>
        </is>
      </c>
      <c r="C25" s="33">
        <f>COUNTIFS('Lab Results'!$H$4:$H$839,$A25,'Lab Results'!$G$4:$G$839,$B25)</f>
        <v>39</v>
      </c>
      <c r="D25" s="33">
        <f>COUNTIFS('Lab Results'!$H$4:$H$839,$A25,'Lab Results'!$G$4:$G$839,$B25,'Lab Results'!$M$4:$M$839,"No")</f>
        <v>12</v>
      </c>
      <c r="E25" s="45">
        <f>IFERROR($D25/$C25,0)</f>
        <v>0.3076923077</v>
      </c>
      <c r="F25" s="34">
        <f>IFERROR(AVERAGEIFS('Lab Results'!$N$4:$N$839,'Lab Results'!$H$4:$H$839,$A25,'Lab Results'!$G$4:$G$839,$B25),0)</f>
        <v>0</v>
      </c>
    </row>
    <row r="26">
      <c r="A26" t="inlineStr">
        <is>
          <t>Mercury</t>
        </is>
      </c>
      <c r="B26" t="inlineStr">
        <is>
          <t>Soil</t>
        </is>
      </c>
      <c r="C26" s="33">
        <f>COUNTIFS('Lab Results'!$H$4:$H$839,$A26,'Lab Results'!$G$4:$G$839,$B26)</f>
        <v>28</v>
      </c>
      <c r="D26" s="33">
        <f>COUNTIFS('Lab Results'!$H$4:$H$839,$A26,'Lab Results'!$G$4:$G$839,$B26,'Lab Results'!$M$4:$M$839,"No")</f>
        <v>9</v>
      </c>
      <c r="E26" s="45">
        <f>IFERROR($D26/$C26,0)</f>
        <v>0.3214285714</v>
      </c>
      <c r="F26" s="34">
        <f>IFERROR(AVERAGEIFS('Lab Results'!$N$4:$N$839,'Lab Results'!$H$4:$H$839,$A26,'Lab Results'!$G$4:$G$839,$B26),0)</f>
        <v>1.1321428571</v>
      </c>
    </row>
    <row r="27">
      <c r="A27" t="inlineStr">
        <is>
          <t>PM2.5</t>
        </is>
      </c>
      <c r="B27" t="inlineStr">
        <is>
          <t>Air</t>
        </is>
      </c>
      <c r="C27" s="33">
        <f>COUNTIFS('Lab Results'!$H$4:$H$839,$A27,'Lab Results'!$G$4:$G$839,$B27)</f>
        <v>30</v>
      </c>
      <c r="D27" s="33">
        <f>COUNTIFS('Lab Results'!$H$4:$H$839,$A27,'Lab Results'!$G$4:$G$839,$B27,'Lab Results'!$M$4:$M$839,"No")</f>
        <v>8</v>
      </c>
      <c r="E27" s="45">
        <f>IFERROR($D27/$C27,0)</f>
        <v>0.2666666667</v>
      </c>
      <c r="F27" s="34">
        <f>IFERROR(AVERAGEIFS('Lab Results'!$N$4:$N$839,'Lab Results'!$H$4:$H$839,$A27,'Lab Results'!$G$4:$G$839,$B27),0)</f>
        <v>0.9333333333</v>
      </c>
    </row>
    <row r="28">
      <c r="A28" t="inlineStr">
        <is>
          <t>Manganese</t>
        </is>
      </c>
      <c r="B28" t="inlineStr">
        <is>
          <t>Water</t>
        </is>
      </c>
      <c r="C28" s="33">
        <f>COUNTIFS('Lab Results'!$H$4:$H$839,$A28,'Lab Results'!$G$4:$G$839,$B28)</f>
        <v>32</v>
      </c>
      <c r="D28" s="33">
        <f>COUNTIFS('Lab Results'!$H$4:$H$839,$A28,'Lab Results'!$G$4:$G$839,$B28,'Lab Results'!$M$4:$M$839,"No")</f>
        <v>8</v>
      </c>
      <c r="E28" s="45">
        <f>IFERROR($D28/$C28,0)</f>
        <v>0.25</v>
      </c>
      <c r="F28" s="34">
        <f>IFERROR(AVERAGEIFS('Lab Results'!$N$4:$N$839,'Lab Results'!$H$4:$H$839,$A28,'Lab Results'!$G$4:$G$839,$B28),0)</f>
        <v>0.88125</v>
      </c>
    </row>
    <row r="29">
      <c r="A29" t="inlineStr">
        <is>
          <t>Turbidity</t>
        </is>
      </c>
      <c r="B29" t="inlineStr">
        <is>
          <t>Water</t>
        </is>
      </c>
      <c r="C29" s="33">
        <f>COUNTIFS('Lab Results'!$H$4:$H$839,$A29,'Lab Results'!$G$4:$G$839,$B29)</f>
        <v>33</v>
      </c>
      <c r="D29" s="33">
        <f>COUNTIFS('Lab Results'!$H$4:$H$839,$A29,'Lab Results'!$G$4:$G$839,$B29,'Lab Results'!$M$4:$M$839,"No")</f>
        <v>8</v>
      </c>
      <c r="E29" s="45">
        <f>IFERROR($D29/$C29,0)</f>
        <v>0.2424242424</v>
      </c>
      <c r="F29" s="34">
        <f>IFERROR(AVERAGEIFS('Lab Results'!$N$4:$N$839,'Lab Results'!$H$4:$H$839,$A29,'Lab Results'!$G$4:$G$839,$B29),0)</f>
        <v>0.9333333333</v>
      </c>
    </row>
    <row r="30">
      <c r="A30" t="inlineStr">
        <is>
          <t>Arsenic</t>
        </is>
      </c>
      <c r="B30" t="inlineStr">
        <is>
          <t>Soil</t>
        </is>
      </c>
      <c r="C30" s="33">
        <f>COUNTIFS('Lab Results'!$H$4:$H$839,$A30,'Lab Results'!$G$4:$G$839,$B30)</f>
        <v>14</v>
      </c>
      <c r="D30" s="33">
        <f>COUNTIFS('Lab Results'!$H$4:$H$839,$A30,'Lab Results'!$G$4:$G$839,$B30,'Lab Results'!$M$4:$M$839,"No")</f>
        <v>7</v>
      </c>
      <c r="E30" s="45">
        <f>IFERROR($D30/$C30,0)</f>
        <v>0.5</v>
      </c>
      <c r="F30" s="34">
        <f>IFERROR(AVERAGEIFS('Lab Results'!$N$4:$N$839,'Lab Results'!$H$4:$H$839,$A30,'Lab Results'!$G$4:$G$839,$B30),0)</f>
        <v>1.3485714286</v>
      </c>
    </row>
    <row r="31">
      <c r="A31" t="inlineStr">
        <is>
          <t>Nitrogen Dioxide (NO2)</t>
        </is>
      </c>
      <c r="B31" t="inlineStr">
        <is>
          <t>Air</t>
        </is>
      </c>
      <c r="C31" s="33">
        <f>COUNTIFS('Lab Results'!$H$4:$H$839,$A31,'Lab Results'!$G$4:$G$839,$B31)</f>
        <v>31</v>
      </c>
      <c r="D31" s="33">
        <f>COUNTIFS('Lab Results'!$H$4:$H$839,$A31,'Lab Results'!$G$4:$G$839,$B31,'Lab Results'!$M$4:$M$839,"No")</f>
        <v>7</v>
      </c>
      <c r="E31" s="45">
        <f>IFERROR($D31/$C31,0)</f>
        <v>0.2258064516</v>
      </c>
      <c r="F31" s="34">
        <f>IFERROR(AVERAGEIFS('Lab Results'!$N$4:$N$839,'Lab Results'!$H$4:$H$839,$A31,'Lab Results'!$G$4:$G$839,$B31),0)</f>
        <v>0.9480645161</v>
      </c>
    </row>
    <row r="32">
      <c r="A32" t="inlineStr">
        <is>
          <t>PM10</t>
        </is>
      </c>
      <c r="B32" t="inlineStr">
        <is>
          <t>Air</t>
        </is>
      </c>
      <c r="C32" s="33">
        <f>COUNTIFS('Lab Results'!$H$4:$H$839,$A32,'Lab Results'!$G$4:$G$839,$B32)</f>
        <v>39</v>
      </c>
      <c r="D32" s="33">
        <f>COUNTIFS('Lab Results'!$H$4:$H$839,$A32,'Lab Results'!$G$4:$G$839,$B32,'Lab Results'!$M$4:$M$839,"No")</f>
        <v>7</v>
      </c>
      <c r="E32" s="45">
        <f>IFERROR($D32/$C32,0)</f>
        <v>0.1794871795</v>
      </c>
      <c r="F32" s="34">
        <f>IFERROR(AVERAGEIFS('Lab Results'!$N$4:$N$839,'Lab Results'!$H$4:$H$839,$A32,'Lab Results'!$G$4:$G$839,$B32),0)</f>
        <v>0.7656410256</v>
      </c>
    </row>
    <row r="33">
      <c r="A33" t="inlineStr">
        <is>
          <t>Lead</t>
        </is>
      </c>
      <c r="B33" t="inlineStr">
        <is>
          <t>Water</t>
        </is>
      </c>
      <c r="C33" s="33">
        <f>COUNTIFS('Lab Results'!$H$4:$H$839,$A33,'Lab Results'!$G$4:$G$839,$B33)</f>
        <v>47</v>
      </c>
      <c r="D33" s="33">
        <f>COUNTIFS('Lab Results'!$H$4:$H$839,$A33,'Lab Results'!$G$4:$G$839,$B33,'Lab Results'!$M$4:$M$839,"No")</f>
        <v>7</v>
      </c>
      <c r="E33" s="45">
        <f>IFERROR($D33/$C33,0)</f>
        <v>0.1489361702</v>
      </c>
      <c r="F33" s="34">
        <f>IFERROR(AVERAGEIFS('Lab Results'!$N$4:$N$839,'Lab Results'!$H$4:$H$839,$A33,'Lab Results'!$G$4:$G$839,$B33),0)</f>
        <v>0.7185106383</v>
      </c>
    </row>
    <row r="34">
      <c r="A34" t="inlineStr">
        <is>
          <t>Iron</t>
        </is>
      </c>
      <c r="B34" t="inlineStr">
        <is>
          <t>Water</t>
        </is>
      </c>
      <c r="C34" s="33">
        <f>COUNTIFS('Lab Results'!$H$4:$H$839,$A34,'Lab Results'!$G$4:$G$839,$B34)</f>
        <v>31</v>
      </c>
      <c r="D34" s="33">
        <f>COUNTIFS('Lab Results'!$H$4:$H$839,$A34,'Lab Results'!$G$4:$G$839,$B34,'Lab Results'!$M$4:$M$839,"No")</f>
        <v>6</v>
      </c>
      <c r="E34" s="45">
        <f>IFERROR($D34/$C34,0)</f>
        <v>0.1935483871</v>
      </c>
      <c r="F34" s="34">
        <f>IFERROR(AVERAGEIFS('Lab Results'!$N$4:$N$839,'Lab Results'!$H$4:$H$839,$A34,'Lab Results'!$G$4:$G$839,$B34),0)</f>
        <v>0.7010752688</v>
      </c>
    </row>
    <row r="36">
      <c r="A36" s="40" t="inlineStr">
        <is>
          <t>4. Complaints by type</t>
        </is>
      </c>
    </row>
    <row r="37" ht="26" customHeight="1">
      <c r="A37" s="44" t="inlineStr">
        <is>
          <t>Complaint Type</t>
        </is>
      </c>
      <c r="B37" s="44" t="inlineStr">
        <is>
          <t>Complaints</t>
        </is>
      </c>
      <c r="C37" s="44" t="inlineStr">
        <is>
          <t>Illness Cases</t>
        </is>
      </c>
      <c r="D37" s="44" t="inlineStr">
        <is>
          <t>Avg Days to Resolve</t>
        </is>
      </c>
    </row>
    <row r="38">
      <c r="A38" t="inlineStr">
        <is>
          <t>Drinking Water Contamination</t>
        </is>
      </c>
      <c r="B38" s="33">
        <f>COUNTIFS('Health Complaints'!$F$4:$F$408,$A38)</f>
        <v>33</v>
      </c>
      <c r="C38" s="33">
        <f>SUMIFS('Health Complaints'!$H$4:$H$408,'Health Complaints'!$F$4:$F$408,$A38)</f>
        <v>691</v>
      </c>
      <c r="D38" s="35">
        <f>IFERROR(AVERAGEIFS('Health Complaints'!$L$4:$L$408,'Health Complaints'!$F$4:$F$408,$A38),0)</f>
        <v>15.3333333333</v>
      </c>
    </row>
    <row r="39">
      <c r="A39" t="inlineStr">
        <is>
          <t>Air Quality / Smoke &amp; Dust</t>
        </is>
      </c>
      <c r="B39" s="33">
        <f>COUNTIFS('Health Complaints'!$F$4:$F$408,$A39)</f>
        <v>20</v>
      </c>
      <c r="C39" s="33">
        <f>SUMIFS('Health Complaints'!$H$4:$H$408,'Health Complaints'!$F$4:$F$408,$A39)</f>
        <v>189</v>
      </c>
      <c r="D39" s="35">
        <f>IFERROR(AVERAGEIFS('Health Complaints'!$L$4:$L$408,'Health Complaints'!$F$4:$F$408,$A39),0)</f>
        <v>17.4</v>
      </c>
    </row>
    <row r="40">
      <c r="A40" t="inlineStr">
        <is>
          <t>Sanitation</t>
        </is>
      </c>
      <c r="B40" s="33">
        <f>COUNTIFS('Health Complaints'!$F$4:$F$408,$A40)</f>
        <v>16</v>
      </c>
      <c r="C40" s="33">
        <f>SUMIFS('Health Complaints'!$H$4:$H$408,'Health Complaints'!$F$4:$F$408,$A40)</f>
        <v>179</v>
      </c>
      <c r="D40" s="35">
        <f>IFERROR(AVERAGEIFS('Health Complaints'!$L$4:$L$408,'Health Complaints'!$F$4:$F$408,$A40),0)</f>
        <v>20.0909090909</v>
      </c>
    </row>
    <row r="41">
      <c r="A41" t="inlineStr">
        <is>
          <t>Waste Dumping</t>
        </is>
      </c>
      <c r="B41" s="33">
        <f>COUNTIFS('Health Complaints'!$F$4:$F$408,$A41)</f>
        <v>18</v>
      </c>
      <c r="C41" s="33">
        <f>SUMIFS('Health Complaints'!$H$4:$H$408,'Health Complaints'!$F$4:$F$408,$A41)</f>
        <v>63</v>
      </c>
      <c r="D41" s="35">
        <f>IFERROR(AVERAGEIFS('Health Complaints'!$L$4:$L$408,'Health Complaints'!$F$4:$F$408,$A41),0)</f>
        <v>30.1</v>
      </c>
    </row>
    <row r="42">
      <c r="A42" t="inlineStr">
        <is>
          <t>Noise</t>
        </is>
      </c>
      <c r="B42" s="33">
        <f>COUNTIFS('Health Complaints'!$F$4:$F$408,$A42)</f>
        <v>10</v>
      </c>
      <c r="C42" s="33">
        <f>SUMIFS('Health Complaints'!$H$4:$H$408,'Health Complaints'!$F$4:$F$408,$A42)</f>
        <v>9</v>
      </c>
      <c r="D42" s="35">
        <f>IFERROR(AVERAGEIFS('Health Complaints'!$L$4:$L$408,'Health Complaints'!$F$4:$F$408,$A42),0)</f>
        <v>9.25</v>
      </c>
    </row>
    <row r="43">
      <c r="A43" t="inlineStr">
        <is>
          <t>Chemical Exposure</t>
        </is>
      </c>
      <c r="B43" s="33">
        <f>COUNTIFS('Health Complaints'!$F$4:$F$408,$A43)</f>
        <v>8</v>
      </c>
      <c r="C43" s="33">
        <f>SUMIFS('Health Complaints'!$H$4:$H$408,'Health Complaints'!$F$4:$F$408,$A43)</f>
        <v>30</v>
      </c>
      <c r="D43" s="35">
        <f>IFERROR(AVERAGEIFS('Health Complaints'!$L$4:$L$408,'Health Complaints'!$F$4:$F$408,$A43),0)</f>
        <v>30.2</v>
      </c>
    </row>
    <row r="45">
      <c r="A45" s="40" t="inlineStr">
        <is>
          <t>5. Complaint status</t>
        </is>
      </c>
    </row>
    <row r="46" ht="26" customHeight="1">
      <c r="A46" s="44" t="inlineStr">
        <is>
          <t>Status</t>
        </is>
      </c>
      <c r="B46" s="44" t="inlineStr">
        <is>
          <t>Complaints</t>
        </is>
      </c>
    </row>
    <row r="47">
      <c r="A47" t="inlineStr">
        <is>
          <t>Received</t>
        </is>
      </c>
      <c r="B47" s="33">
        <f>COUNTIFS('Health Complaints'!$J$4:$J$408,$A47)</f>
        <v>14</v>
      </c>
    </row>
    <row r="48">
      <c r="A48" t="inlineStr">
        <is>
          <t>Investigating</t>
        </is>
      </c>
      <c r="B48" s="33">
        <f>COUNTIFS('Health Complaints'!$J$4:$J$408,$A48)</f>
        <v>21</v>
      </c>
    </row>
    <row r="49">
      <c r="A49" t="inlineStr">
        <is>
          <t>Findings Presented</t>
        </is>
      </c>
      <c r="B49" s="33">
        <f>COUNTIFS('Health Complaints'!$J$4:$J$408,$A49)</f>
        <v>11</v>
      </c>
    </row>
    <row r="50">
      <c r="A50" t="inlineStr">
        <is>
          <t>Closed</t>
        </is>
      </c>
      <c r="B50" s="33">
        <f>COUNTIFS('Health Complaints'!$J$4:$J$408,$A50)</f>
        <v>59</v>
      </c>
    </row>
    <row r="52">
      <c r="A52" s="40" t="inlineStr">
        <is>
          <t>6. By county</t>
        </is>
      </c>
    </row>
    <row r="53" ht="26" customHeight="1">
      <c r="A53" s="44" t="inlineStr">
        <is>
          <t>County</t>
        </is>
      </c>
      <c r="B53" s="44" t="inlineStr">
        <is>
          <t>Lab Samples</t>
        </is>
      </c>
      <c r="C53" s="44" t="inlineStr">
        <is>
          <t>Exceedances</t>
        </is>
      </c>
      <c r="D53" s="44" t="inlineStr">
        <is>
          <t>Exceedance Rate</t>
        </is>
      </c>
      <c r="E53" s="44" t="inlineStr">
        <is>
          <t>Complaints</t>
        </is>
      </c>
      <c r="F53" s="44" t="inlineStr">
        <is>
          <t>Illness Cases</t>
        </is>
      </c>
    </row>
    <row r="54">
      <c r="A54" t="inlineStr">
        <is>
          <t>Montserrado</t>
        </is>
      </c>
      <c r="B54" s="33">
        <f>COUNTIFS('Lab Results'!$D$4:$D$839,$A54)</f>
        <v>141</v>
      </c>
      <c r="C54" s="33">
        <f>COUNTIFS('Lab Results'!$D$4:$D$839,$A54,'Lab Results'!$M$4:$M$839,"No")</f>
        <v>30</v>
      </c>
      <c r="D54" s="45">
        <f>IFERROR($C54/$B54,0)</f>
        <v>0.2127659574</v>
      </c>
      <c r="E54" s="33">
        <f>COUNTIFS('Health Complaints'!$D$4:$D$408,$A54)</f>
        <v>32</v>
      </c>
      <c r="F54" s="33">
        <f>SUMIFS('Health Complaints'!$H$4:$H$408,'Health Complaints'!$D$4:$D$408,$A54)</f>
        <v>265</v>
      </c>
    </row>
    <row r="55">
      <c r="A55" t="inlineStr">
        <is>
          <t>Nimba</t>
        </is>
      </c>
      <c r="B55" s="33">
        <f>COUNTIFS('Lab Results'!$D$4:$D$839,$A55)</f>
        <v>87</v>
      </c>
      <c r="C55" s="33">
        <f>COUNTIFS('Lab Results'!$D$4:$D$839,$A55,'Lab Results'!$M$4:$M$839,"No")</f>
        <v>15</v>
      </c>
      <c r="D55" s="45">
        <f>IFERROR($C55/$B55,0)</f>
        <v>0.1724137931</v>
      </c>
      <c r="E55" s="33">
        <f>COUNTIFS('Health Complaints'!$D$4:$D$408,$A55)</f>
        <v>17</v>
      </c>
      <c r="F55" s="33">
        <f>SUMIFS('Health Complaints'!$H$4:$H$408,'Health Complaints'!$D$4:$D$408,$A55)</f>
        <v>157</v>
      </c>
    </row>
    <row r="56">
      <c r="A56" t="inlineStr">
        <is>
          <t>Bong</t>
        </is>
      </c>
      <c r="B56" s="33">
        <f>COUNTIFS('Lab Results'!$D$4:$D$839,$A56)</f>
        <v>66</v>
      </c>
      <c r="C56" s="33">
        <f>COUNTIFS('Lab Results'!$D$4:$D$839,$A56,'Lab Results'!$M$4:$M$839,"No")</f>
        <v>13</v>
      </c>
      <c r="D56" s="45">
        <f>IFERROR($C56/$B56,0)</f>
        <v>0.196969697</v>
      </c>
      <c r="E56" s="33">
        <f>COUNTIFS('Health Complaints'!$D$4:$D$408,$A56)</f>
        <v>11</v>
      </c>
      <c r="F56" s="33">
        <f>SUMIFS('Health Complaints'!$H$4:$H$408,'Health Complaints'!$D$4:$D$408,$A56)</f>
        <v>150</v>
      </c>
    </row>
    <row r="57">
      <c r="A57" t="inlineStr">
        <is>
          <t>Grand Bassa</t>
        </is>
      </c>
      <c r="B57" s="33">
        <f>COUNTIFS('Lab Results'!$D$4:$D$839,$A57)</f>
        <v>70</v>
      </c>
      <c r="C57" s="33">
        <f>COUNTIFS('Lab Results'!$D$4:$D$839,$A57,'Lab Results'!$M$4:$M$839,"No")</f>
        <v>14</v>
      </c>
      <c r="D57" s="45">
        <f>IFERROR($C57/$B57,0)</f>
        <v>0.2</v>
      </c>
      <c r="E57" s="33">
        <f>COUNTIFS('Health Complaints'!$D$4:$D$408,$A57)</f>
        <v>11</v>
      </c>
      <c r="F57" s="33">
        <f>SUMIFS('Health Complaints'!$H$4:$H$408,'Health Complaints'!$D$4:$D$408,$A57)</f>
        <v>130</v>
      </c>
    </row>
    <row r="58">
      <c r="A58" t="inlineStr">
        <is>
          <t>Margibi</t>
        </is>
      </c>
      <c r="B58" s="33">
        <f>COUNTIFS('Lab Results'!$D$4:$D$839,$A58)</f>
        <v>37</v>
      </c>
      <c r="C58" s="33">
        <f>COUNTIFS('Lab Results'!$D$4:$D$839,$A58,'Lab Results'!$M$4:$M$839,"No")</f>
        <v>5</v>
      </c>
      <c r="D58" s="45">
        <f>IFERROR($C58/$B58,0)</f>
        <v>0.1351351351</v>
      </c>
      <c r="E58" s="33">
        <f>COUNTIFS('Health Complaints'!$D$4:$D$408,$A58)</f>
        <v>11</v>
      </c>
      <c r="F58" s="33">
        <f>SUMIFS('Health Complaints'!$H$4:$H$408,'Health Complaints'!$D$4:$D$408,$A58)</f>
        <v>175</v>
      </c>
    </row>
    <row r="59">
      <c r="A59" t="inlineStr">
        <is>
          <t>Lofa</t>
        </is>
      </c>
      <c r="B59" s="33">
        <f>COUNTIFS('Lab Results'!$D$4:$D$839,$A59)</f>
        <v>41</v>
      </c>
      <c r="C59" s="33">
        <f>COUNTIFS('Lab Results'!$D$4:$D$839,$A59,'Lab Results'!$M$4:$M$839,"No")</f>
        <v>10</v>
      </c>
      <c r="D59" s="45">
        <f>IFERROR($C59/$B59,0)</f>
        <v>0.243902439</v>
      </c>
      <c r="E59" s="33">
        <f>COUNTIFS('Health Complaints'!$D$4:$D$408,$A59)</f>
        <v>5</v>
      </c>
      <c r="F59" s="33">
        <f>SUMIFS('Health Complaints'!$H$4:$H$408,'Health Complaints'!$D$4:$D$408,$A59)</f>
        <v>15</v>
      </c>
    </row>
    <row r="60">
      <c r="A60" t="inlineStr">
        <is>
          <t>Grand Cape Mount</t>
        </is>
      </c>
      <c r="B60" s="33">
        <f>COUNTIFS('Lab Results'!$D$4:$D$839,$A60)</f>
        <v>26</v>
      </c>
      <c r="C60" s="33">
        <f>COUNTIFS('Lab Results'!$D$4:$D$839,$A60,'Lab Results'!$M$4:$M$839,"No")</f>
        <v>5</v>
      </c>
      <c r="D60" s="45">
        <f>IFERROR($C60/$B60,0)</f>
        <v>0.1923076923</v>
      </c>
      <c r="E60" s="33">
        <f>COUNTIFS('Health Complaints'!$D$4:$D$408,$A60)</f>
        <v>6</v>
      </c>
      <c r="F60" s="33">
        <f>SUMIFS('Health Complaints'!$H$4:$H$408,'Health Complaints'!$D$4:$D$408,$A60)</f>
        <v>170</v>
      </c>
    </row>
    <row r="61">
      <c r="A61" t="inlineStr">
        <is>
          <t>Sinoe</t>
        </is>
      </c>
      <c r="B61" s="33">
        <f>COUNTIFS('Lab Results'!$D$4:$D$839,$A61)</f>
        <v>23</v>
      </c>
      <c r="C61" s="33">
        <f>COUNTIFS('Lab Results'!$D$4:$D$839,$A61,'Lab Results'!$M$4:$M$839,"No")</f>
        <v>5</v>
      </c>
      <c r="D61" s="45">
        <f>IFERROR($C61/$B61,0)</f>
        <v>0.2173913043</v>
      </c>
      <c r="E61" s="33">
        <f>COUNTIFS('Health Complaints'!$D$4:$D$408,$A61)</f>
        <v>5</v>
      </c>
      <c r="F61" s="33">
        <f>SUMIFS('Health Complaints'!$H$4:$H$408,'Health Complaints'!$D$4:$D$408,$A61)</f>
        <v>23</v>
      </c>
    </row>
    <row r="62">
      <c r="A62" t="inlineStr">
        <is>
          <t>Other counties</t>
        </is>
      </c>
      <c r="B62" s="33">
        <f>SUMPRODUCT((COUNTIF($A$54:$A$61,'Lab Results'!$D$4:$D$839)=0)*('Lab Results'!$D$4:$D$839&lt;&gt;""))</f>
        <v>45</v>
      </c>
      <c r="C62" s="33">
        <f>SUMPRODUCT((COUNTIF($A$54:$A$61,'Lab Results'!$D$4:$D$839)=0)*('Lab Results'!$D$4:$D$839&lt;&gt;"")*('Lab Results'!$M$4:$M$839="No"))</f>
        <v>7</v>
      </c>
      <c r="D62" s="45">
        <f>IFERROR($C62/$B62,0)</f>
        <v>0.1555555556</v>
      </c>
      <c r="E62" s="33">
        <f>SUMPRODUCT((COUNTIF($A$54:$A$61,'Health Complaints'!$D$4:$D$408)=0)*('Health Complaints'!$D$4:$D$408&lt;&gt;""))</f>
        <v>7</v>
      </c>
      <c r="F62" s="33">
        <f>SUMPRODUCT((COUNTIF($A$54:$A$61,'Health Complaints'!$D$4:$D$408)=0)*('Health Complaints'!$D$4:$D$408&lt;&gt;"")*'Health Complaints'!$H$4:$H$408)</f>
        <v>76</v>
      </c>
    </row>
    <row r="64">
      <c r="A64" s="40" t="inlineStr">
        <is>
          <t>7. Inspections</t>
        </is>
      </c>
    </row>
    <row r="65" ht="26" customHeight="1">
      <c r="A65" s="44" t="inlineStr">
        <is>
          <t>Outcome</t>
        </is>
      </c>
      <c r="B65" s="44" t="inlineStr">
        <is>
          <t>Inspections</t>
        </is>
      </c>
    </row>
    <row r="66">
      <c r="A66" t="inlineStr">
        <is>
          <t>Compliant</t>
        </is>
      </c>
      <c r="B66" s="33">
        <f>COUNTIFS('Facility Inspections'!$G$4:$G$385,$A66)</f>
        <v>50</v>
      </c>
    </row>
    <row r="67">
      <c r="A67" t="inlineStr">
        <is>
          <t>Non-Compliant</t>
        </is>
      </c>
      <c r="B67" s="33">
        <f>COUNTIFS('Facility Inspections'!$G$4:$G$385,$A67)</f>
        <v>28</v>
      </c>
    </row>
    <row r="68">
      <c r="A68" t="inlineStr">
        <is>
          <t>Pending Review</t>
        </is>
      </c>
      <c r="B68" s="33">
        <f>COUNTIFS('Facility Inspections'!$G$4:$G$385,$A68)</f>
        <v>4</v>
      </c>
    </row>
    <row r="70" ht="26" customHeight="1">
      <c r="A70" s="44" t="inlineStr">
        <is>
          <t>Facility Type</t>
        </is>
      </c>
      <c r="B70" s="44" t="inlineStr">
        <is>
          <t>Inspections</t>
        </is>
      </c>
      <c r="C70" s="44" t="inlineStr">
        <is>
          <t>Non-Compliant</t>
        </is>
      </c>
      <c r="D70" s="44" t="inlineStr">
        <is>
          <t>Non-Compliance Rate</t>
        </is>
      </c>
    </row>
    <row r="71">
      <c r="A71" t="inlineStr">
        <is>
          <t>Hospital / Clinic</t>
        </is>
      </c>
      <c r="B71" s="33">
        <f>COUNTIFS('Facility Inspections'!$F$4:$F$385,$A71)</f>
        <v>22</v>
      </c>
      <c r="C71" s="33">
        <f>COUNTIFS('Facility Inspections'!$F$4:$F$385,$A71,'Facility Inspections'!$G$4:$G$385,"Non-Compliant")</f>
        <v>6</v>
      </c>
      <c r="D71" s="45">
        <f>IFERROR($C71/$B71,0)</f>
        <v>0.2727272727</v>
      </c>
    </row>
    <row r="72">
      <c r="A72" t="inlineStr">
        <is>
          <t>Industrial Plant</t>
        </is>
      </c>
      <c r="B72" s="33">
        <f>COUNTIFS('Facility Inspections'!$F$4:$F$385,$A72)</f>
        <v>25</v>
      </c>
      <c r="C72" s="33">
        <f>COUNTIFS('Facility Inspections'!$F$4:$F$385,$A72,'Facility Inspections'!$G$4:$G$385,"Non-Compliant")</f>
        <v>13</v>
      </c>
      <c r="D72" s="45">
        <f>IFERROR($C72/$B72,0)</f>
        <v>0.52</v>
      </c>
    </row>
    <row r="73">
      <c r="A73" t="inlineStr">
        <is>
          <t>Water Treatment / Supply</t>
        </is>
      </c>
      <c r="B73" s="33">
        <f>COUNTIFS('Facility Inspections'!$F$4:$F$385,$A73)</f>
        <v>15</v>
      </c>
      <c r="C73" s="33">
        <f>COUNTIFS('Facility Inspections'!$F$4:$F$385,$A73,'Facility Inspections'!$G$4:$G$385,"Non-Compliant")</f>
        <v>7</v>
      </c>
      <c r="D73" s="45">
        <f>IFERROR($C73/$B73,0)</f>
        <v>0.4666666667</v>
      </c>
    </row>
    <row r="74">
      <c r="A74" t="inlineStr">
        <is>
          <t>School</t>
        </is>
      </c>
      <c r="B74" s="33">
        <f>COUNTIFS('Facility Inspections'!$F$4:$F$385,$A74)</f>
        <v>8</v>
      </c>
      <c r="C74" s="33">
        <f>COUNTIFS('Facility Inspections'!$F$4:$F$385,$A74,'Facility Inspections'!$G$4:$G$385,"Non-Compliant")</f>
        <v>1</v>
      </c>
      <c r="D74" s="45">
        <f>IFERROR($C74/$B74,0)</f>
        <v>0.125</v>
      </c>
    </row>
    <row r="75">
      <c r="A75" t="inlineStr">
        <is>
          <t>Mining Site</t>
        </is>
      </c>
      <c r="B75" s="33">
        <f>COUNTIFS('Facility Inspections'!$F$4:$F$385,$A75)</f>
        <v>11</v>
      </c>
      <c r="C75" s="33">
        <f>COUNTIFS('Facility Inspections'!$F$4:$F$385,$A75,'Facility Inspections'!$G$4:$G$385,"Non-Compliant")</f>
        <v>1</v>
      </c>
      <c r="D75" s="45">
        <f>IFERROR($C75/$B75,0)</f>
        <v>0.0909090909</v>
      </c>
    </row>
    <row r="76">
      <c r="A76" t="inlineStr">
        <is>
          <t>Waste Facility</t>
        </is>
      </c>
      <c r="B76" s="33">
        <f>COUNTIFS('Facility Inspections'!$F$4:$F$385,$A76)</f>
        <v>1</v>
      </c>
      <c r="C76" s="33">
        <f>COUNTIFS('Facility Inspections'!$F$4:$F$385,$A76,'Facility Inspections'!$G$4:$G$385,"Non-Compliant")</f>
        <v>0</v>
      </c>
      <c r="D76" s="45">
        <f>IFERROR($C76/$B76,0)</f>
        <v>0</v>
      </c>
    </row>
    <row r="78">
      <c r="A78" s="40" t="inlineStr">
        <is>
          <t>8. Radiation safety and worker protection</t>
        </is>
      </c>
    </row>
    <row r="79" ht="26" customHeight="1">
      <c r="A79" s="44" t="inlineStr">
        <is>
          <t>Metric</t>
        </is>
      </c>
      <c r="B79" s="44" t="inlineStr">
        <is>
          <t>Value</t>
        </is>
      </c>
    </row>
    <row r="80">
      <c r="A80" t="inlineStr">
        <is>
          <t>Facilities monitored</t>
        </is>
      </c>
      <c r="B80" s="33">
        <f>COUNTA('Radiation Safety'!$A$4:$A$145)</f>
        <v>42</v>
      </c>
    </row>
    <row r="81">
      <c r="A81" t="inlineStr">
        <is>
          <t>Radiation sources inventoried</t>
        </is>
      </c>
      <c r="B81" s="33">
        <f>SUM('Radiation Safety'!$D$4:$D$145)</f>
        <v>139</v>
      </c>
    </row>
    <row r="82">
      <c r="A82" t="inlineStr">
        <is>
          <t>Workers monitored</t>
        </is>
      </c>
      <c r="B82" s="33">
        <f>SUM('Radiation Safety'!$E$4:$E$145)</f>
        <v>351</v>
      </c>
    </row>
    <row r="83">
      <c r="A83" t="inlineStr">
        <is>
          <t>Average annual dose (mSv)</t>
        </is>
      </c>
      <c r="B83" s="34">
        <f>IFERROR(AVERAGE('Radiation Safety'!$F$4:$F$145),0)</f>
        <v>6.8595238095</v>
      </c>
    </row>
    <row r="84">
      <c r="A84" t="inlineStr">
        <is>
          <t>Facilities within the 20 mSv limit</t>
        </is>
      </c>
      <c r="B84" s="33">
        <f>COUNTIFS('Radiation Safety'!$G$4:$G$145,"Yes")</f>
        <v>39</v>
      </c>
    </row>
    <row r="85">
      <c r="A85" t="inlineStr">
        <is>
          <t>Facilities over the 20 mSv limit</t>
        </is>
      </c>
      <c r="B85" s="33">
        <f>COUNTIFS('Radiation Safety'!$G$4:$G$145,"No")</f>
        <v>3</v>
      </c>
    </row>
    <row r="86">
      <c r="A86" t="inlineStr">
        <is>
          <t>Dose-limit compliance rate</t>
        </is>
      </c>
      <c r="B86" s="45">
        <f>IFERROR(COUNTIFS('Radiation Safety'!$G$4:$G$145,"Yes")/COUNTA('Radiation Safety'!$A$4:$A$145),0)</f>
        <v>0.9285714286</v>
      </c>
    </row>
    <row r="87">
      <c r="A87" t="inlineStr">
        <is>
          <t>Average PPE compliance</t>
        </is>
      </c>
      <c r="B87" s="45">
        <f>IFERROR(AVERAGE('Radiation Safety'!$H$4:$H$145),0)</f>
        <v>0.8247619048</v>
      </c>
    </row>
    <row r="88">
      <c r="A88" t="inlineStr">
        <is>
          <t>Instruments with current calibration</t>
        </is>
      </c>
      <c r="B88" s="33">
        <f>COUNTIFS('Radiation Safety'!$I$4:$I$145,"Yes")</f>
        <v>36</v>
      </c>
    </row>
    <row r="89">
      <c r="A89" t="inlineStr">
        <is>
          <t>Calibration currency rate</t>
        </is>
      </c>
      <c r="B89" s="45">
        <f>IFERROR(COUNTIFS('Radiation Safety'!$I$4:$I$145,"Yes")/COUNTA('Radiation Safety'!$A$4:$A$145),0)</f>
        <v>0.8571428571</v>
      </c>
    </row>
    <row r="91">
      <c r="A91" s="40" t="inlineStr">
        <is>
          <t>9. Dashboard KPIs</t>
        </is>
      </c>
    </row>
    <row r="92" ht="26" customHeight="1">
      <c r="A92" s="44" t="inlineStr">
        <is>
          <t>KPI</t>
        </is>
      </c>
      <c r="B92" s="44" t="inlineStr">
        <is>
          <t>Value</t>
        </is>
      </c>
    </row>
    <row r="93">
      <c r="A93" t="inlineStr">
        <is>
          <t>Samples tested</t>
        </is>
      </c>
      <c r="B93" s="33">
        <f>COUNTA('Lab Results'!$A$4:$A$839)</f>
        <v>536</v>
      </c>
    </row>
    <row r="94">
      <c r="A94" t="inlineStr">
        <is>
          <t>Samples within limits</t>
        </is>
      </c>
      <c r="B94" s="33">
        <f>COUNTIFS('Lab Results'!$M$4:$M$839,"Yes")</f>
        <v>432</v>
      </c>
    </row>
    <row r="95">
      <c r="A95" t="inlineStr">
        <is>
          <t>Exceedances detected</t>
        </is>
      </c>
      <c r="B95" s="33">
        <f>COUNTIFS('Lab Results'!$M$4:$M$839,"No")</f>
        <v>104</v>
      </c>
    </row>
    <row r="96">
      <c r="A96" t="inlineStr">
        <is>
          <t>Share within limits</t>
        </is>
      </c>
      <c r="B96" s="45">
        <f>IFERROR(COUNTIFS('Lab Results'!$M$4:$M$839,"Yes")/COUNTA('Lab Results'!$A$4:$A$839),0)</f>
        <v>0.8059701493</v>
      </c>
    </row>
    <row r="97">
      <c r="A97" t="inlineStr">
        <is>
          <t>Population served by monitored sources</t>
        </is>
      </c>
      <c r="B97" s="33">
        <f>SUM('Lab Results'!$O$4:$O$839)</f>
        <v>683050</v>
      </c>
    </row>
    <row r="98">
      <c r="A98" t="inlineStr">
        <is>
          <t>Illness cases reported</t>
        </is>
      </c>
      <c r="B98" s="33">
        <f>SUM('Health Complaints'!$H$4:$H$408)</f>
        <v>1161</v>
      </c>
    </row>
    <row r="99">
      <c r="A99" t="inlineStr">
        <is>
          <t>Complaints logged</t>
        </is>
      </c>
      <c r="B99" s="33">
        <f>COUNTA('Health Complaints'!$A$4:$A$408)</f>
        <v>105</v>
      </c>
    </row>
    <row r="100">
      <c r="A100" t="inlineStr">
        <is>
          <t>Complaints still open</t>
        </is>
      </c>
      <c r="B100" s="33">
        <f>COUNTA('Health Complaints'!$A$4:$A$408)-COUNTIFS('Health Complaints'!$J$4:$J$408,"Closed")</f>
        <v>46</v>
      </c>
    </row>
    <row r="101">
      <c r="A101" t="inlineStr">
        <is>
          <t>High or critical severity complaints</t>
        </is>
      </c>
      <c r="B101" s="33">
        <f>COUNTIFS('Health Complaints'!$I$4:$I$408,"High")+COUNTIFS('Health Complaints'!$I$4:$I$408,"Critical")</f>
        <v>33</v>
      </c>
    </row>
    <row r="102">
      <c r="A102" t="inlineStr">
        <is>
          <t>Average days to resolve a complaint</t>
        </is>
      </c>
      <c r="B102" s="35">
        <f>IFERROR(AVERAGE('Health Complaints'!$L$4:$L$408),0)</f>
        <v>19.5084745763</v>
      </c>
    </row>
    <row r="103">
      <c r="A103" t="inlineStr">
        <is>
          <t>Inspections completed</t>
        </is>
      </c>
      <c r="B103" s="33">
        <f>COUNTA('Facility Inspections'!$A$4:$A$385)</f>
        <v>82</v>
      </c>
    </row>
    <row r="104">
      <c r="A104" t="inlineStr">
        <is>
          <t>Facility compliance rate</t>
        </is>
      </c>
      <c r="B104" s="45">
        <f>IFERROR(COUNTIFS('Facility Inspections'!$G$4:$G$385,"Compliant")/COUNTA('Facility Inspections'!$A$4:$A$385),0)</f>
        <v>0.6097560976</v>
      </c>
    </row>
    <row r="105">
      <c r="A105" t="inlineStr">
        <is>
          <t>Water exceedance rate</t>
        </is>
      </c>
      <c r="B105" s="45">
        <f>IFERROR(COUNTIFS('Lab Results'!$G$4:$G$839,"Water",'Lab Results'!$M$4:$M$839,"No")/COUNTIFS('Lab Results'!$G$4:$G$839,"Water"),0)</f>
        <v>0.1914893617</v>
      </c>
    </row>
    <row r="106">
      <c r="A106" t="inlineStr">
        <is>
          <t>Facilities under radiation monitoring</t>
        </is>
      </c>
      <c r="B106" s="33">
        <f>B80</f>
        <v>42</v>
      </c>
    </row>
    <row r="107">
      <c r="A107" t="inlineStr">
        <is>
          <t>Average annual occupational dose (mSv)</t>
        </is>
      </c>
      <c r="B107" s="34">
        <f>B83</f>
        <v>6.8595238095</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2026-09-18T12:22:15Z</dcterms:created>
  <dcterms:modified xsi:type="dcterms:W3CDTF">2026-09-18T12:22:15Z</dcterms:modified>
</cp:coreProperties>
</file>